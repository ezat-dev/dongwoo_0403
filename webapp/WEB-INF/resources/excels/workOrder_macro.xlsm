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바탕화면\"/>
    </mc:Choice>
  </mc:AlternateContent>
  <bookViews>
    <workbookView xWindow="480" yWindow="795" windowWidth="27915" windowHeight="12450"/>
  </bookViews>
  <sheets>
    <sheet name="sheet1" sheetId="1" r:id="rId1"/>
    <sheet name="안전보안부품" sheetId="4" r:id="rId2"/>
    <sheet name="SHAFT" sheetId="2" r:id="rId3"/>
    <sheet name="예열 A" sheetId="5" r:id="rId4"/>
    <sheet name="예열 B" sheetId="6" r:id="rId5"/>
    <sheet name="응력제거" sheetId="3" r:id="rId6"/>
  </sheets>
  <functionGroups builtInGroupCount="18"/>
  <definedNames>
    <definedName name="_xlnm.Print_Area" localSheetId="2">SHAFT!$A$1:$W$92</definedName>
    <definedName name="_xlnm.Print_Area" localSheetId="0">sheet1!$A$1:$W$94</definedName>
    <definedName name="_xlnm.Print_Area" localSheetId="1">안전보안부품!$A$1:$W$92</definedName>
    <definedName name="_xlnm.Print_Area" localSheetId="3">'예열 A'!$A$1:$W$92</definedName>
    <definedName name="_xlnm.Print_Area" localSheetId="4">'예열 B'!$A$1:$W$92</definedName>
    <definedName name="_xlnm.Print_Area" localSheetId="5">응력제거!$A$1:$W$48</definedName>
    <definedName name="Z_357FF335_BACF_42A2_8E99_9046DDD3B74A_.wvu.Cols" localSheetId="2" hidden="1">SHAFT!#REF!</definedName>
    <definedName name="Z_357FF335_BACF_42A2_8E99_9046DDD3B74A_.wvu.Cols" localSheetId="0" hidden="1">sheet1!#REF!</definedName>
    <definedName name="Z_357FF335_BACF_42A2_8E99_9046DDD3B74A_.wvu.Cols" localSheetId="1" hidden="1">안전보안부품!#REF!</definedName>
    <definedName name="Z_357FF335_BACF_42A2_8E99_9046DDD3B74A_.wvu.Cols" localSheetId="3" hidden="1">'예열 A'!#REF!</definedName>
    <definedName name="Z_357FF335_BACF_42A2_8E99_9046DDD3B74A_.wvu.Cols" localSheetId="4" hidden="1">'예열 B'!#REF!</definedName>
    <definedName name="Z_357FF335_BACF_42A2_8E99_9046DDD3B74A_.wvu.Cols" localSheetId="5" hidden="1">응력제거!#REF!</definedName>
  </definedNames>
  <calcPr calcId="152511"/>
</workbook>
</file>

<file path=xl/calcChain.xml><?xml version="1.0" encoding="utf-8"?>
<calcChain xmlns="http://schemas.openxmlformats.org/spreadsheetml/2006/main">
  <c r="K1" i="6" l="1"/>
  <c r="U6" i="4"/>
  <c r="AE9" i="1"/>
  <c r="AD9" i="1"/>
  <c r="AC9" i="1"/>
  <c r="V4" i="1"/>
  <c r="Y9" i="1"/>
  <c r="P5" i="3" l="1"/>
  <c r="P4" i="3"/>
  <c r="P4" i="6"/>
  <c r="P4" i="5"/>
  <c r="P4" i="2"/>
  <c r="P4" i="4"/>
  <c r="Z5" i="4"/>
  <c r="AA5" i="4" s="1"/>
  <c r="P1" i="1" l="1"/>
  <c r="V4" i="4"/>
  <c r="V4" i="6"/>
  <c r="V4" i="2"/>
  <c r="V4" i="5"/>
  <c r="N20" i="6" l="1"/>
  <c r="N19" i="6"/>
  <c r="J20" i="6"/>
  <c r="J19" i="6"/>
  <c r="F20" i="6"/>
  <c r="F19" i="6"/>
  <c r="F16" i="6"/>
  <c r="N15" i="6"/>
  <c r="C47" i="6"/>
  <c r="C46" i="6"/>
  <c r="C45" i="6"/>
  <c r="C44" i="6"/>
  <c r="N35" i="6"/>
  <c r="H31" i="6"/>
  <c r="T24" i="6"/>
  <c r="T22" i="6"/>
  <c r="N21" i="6"/>
  <c r="J21" i="6"/>
  <c r="U15" i="6"/>
  <c r="U14" i="6"/>
  <c r="U12" i="6"/>
  <c r="U7" i="6"/>
  <c r="U6" i="6"/>
  <c r="Z5" i="6"/>
  <c r="AA5" i="6" s="1"/>
  <c r="J5" i="6"/>
  <c r="C5" i="6"/>
  <c r="J4" i="6"/>
  <c r="C4" i="6"/>
  <c r="D3" i="6"/>
  <c r="P1" i="6"/>
  <c r="F19" i="5" l="1"/>
  <c r="J21" i="5"/>
  <c r="F16" i="5" l="1"/>
  <c r="C47" i="5"/>
  <c r="C46" i="5"/>
  <c r="C45" i="5"/>
  <c r="C44" i="5"/>
  <c r="N35" i="5"/>
  <c r="H31" i="5"/>
  <c r="T24" i="5"/>
  <c r="T22" i="5"/>
  <c r="N21" i="5"/>
  <c r="N20" i="5"/>
  <c r="J20" i="5"/>
  <c r="N19" i="5"/>
  <c r="J19" i="5"/>
  <c r="J15" i="5"/>
  <c r="U15" i="5"/>
  <c r="U14" i="5"/>
  <c r="U12" i="5"/>
  <c r="U7" i="5"/>
  <c r="U6" i="5"/>
  <c r="Z5" i="5"/>
  <c r="AA5" i="5" s="1"/>
  <c r="J5" i="5"/>
  <c r="C5" i="5"/>
  <c r="J4" i="5"/>
  <c r="C4" i="5"/>
  <c r="D3" i="5"/>
  <c r="P1" i="5"/>
  <c r="K1" i="5"/>
  <c r="K1" i="2" l="1"/>
  <c r="K1" i="4"/>
  <c r="U7" i="3" l="1"/>
  <c r="U6" i="3"/>
  <c r="E33" i="4" l="1"/>
  <c r="H31" i="2"/>
  <c r="C47" i="4" l="1"/>
  <c r="C46" i="4"/>
  <c r="C45" i="4"/>
  <c r="C44" i="4"/>
  <c r="N35" i="4"/>
  <c r="T24" i="4"/>
  <c r="T22" i="4"/>
  <c r="M21" i="4"/>
  <c r="G21" i="4"/>
  <c r="O20" i="4"/>
  <c r="J20" i="4"/>
  <c r="G20" i="4"/>
  <c r="O19" i="4"/>
  <c r="J19" i="4"/>
  <c r="G19" i="4"/>
  <c r="O16" i="4"/>
  <c r="U15" i="4"/>
  <c r="G15" i="4"/>
  <c r="U14" i="4"/>
  <c r="U12" i="4"/>
  <c r="U7" i="4"/>
  <c r="J5" i="4"/>
  <c r="C5" i="4"/>
  <c r="J4" i="4"/>
  <c r="C4" i="4"/>
  <c r="D3" i="4"/>
  <c r="U7" i="2" l="1"/>
  <c r="U6" i="2"/>
  <c r="N35" i="2" l="1"/>
  <c r="C47" i="2" l="1"/>
  <c r="C46" i="2"/>
  <c r="C45" i="2"/>
  <c r="C44" i="2"/>
  <c r="O20" i="2" l="1"/>
  <c r="J20" i="2"/>
  <c r="G20" i="2"/>
  <c r="J5" i="3" l="1"/>
  <c r="J4" i="3"/>
  <c r="C5" i="3"/>
  <c r="C4" i="3"/>
  <c r="D3" i="3"/>
  <c r="T24" i="2" l="1"/>
  <c r="T22" i="2"/>
  <c r="U15" i="2"/>
  <c r="U14" i="2"/>
  <c r="U12" i="2"/>
  <c r="M21" i="2"/>
  <c r="O19" i="2"/>
  <c r="O16" i="2"/>
  <c r="G21" i="2"/>
  <c r="J19" i="2"/>
  <c r="G19" i="2"/>
  <c r="G15" i="2"/>
  <c r="J5" i="2"/>
  <c r="J4" i="2"/>
  <c r="C5" i="2"/>
  <c r="C4" i="2"/>
  <c r="D3" i="2"/>
  <c r="Z5" i="2"/>
  <c r="AA5" i="2" s="1"/>
  <c r="Z5" i="1" l="1"/>
  <c r="AA5" i="1" s="1"/>
  <c r="P3" i="1" s="1"/>
  <c r="P3" i="4" l="1"/>
  <c r="P3" i="6"/>
  <c r="P3" i="5"/>
  <c r="P3" i="2"/>
  <c r="P1" i="4"/>
  <c r="P1" i="3" l="1"/>
  <c r="P1" i="2"/>
</calcChain>
</file>

<file path=xl/sharedStrings.xml><?xml version="1.0" encoding="utf-8"?>
<sst xmlns="http://schemas.openxmlformats.org/spreadsheetml/2006/main" count="962" uniqueCount="249">
  <si>
    <t>고 객 명 :</t>
    <phoneticPr fontId="3" type="noConversion"/>
  </si>
  <si>
    <t>처리장비</t>
    <phoneticPr fontId="3" type="noConversion"/>
  </si>
  <si>
    <t>품   명</t>
    <phoneticPr fontId="3" type="noConversion"/>
  </si>
  <si>
    <t>재   질</t>
    <phoneticPr fontId="3" type="noConversion"/>
  </si>
  <si>
    <t>품   번</t>
    <phoneticPr fontId="3" type="noConversion"/>
  </si>
  <si>
    <t>열처리
구분</t>
    <phoneticPr fontId="3" type="noConversion"/>
  </si>
  <si>
    <t>공정
lot no.</t>
    <phoneticPr fontId="3" type="noConversion"/>
  </si>
  <si>
    <t>○</t>
    <phoneticPr fontId="3" type="noConversion"/>
  </si>
  <si>
    <t>확인란</t>
    <phoneticPr fontId="3" type="noConversion"/>
  </si>
  <si>
    <t>⊙ 표준NO.</t>
    <phoneticPr fontId="3" type="noConversion"/>
  </si>
  <si>
    <t>온도(℃)</t>
    <phoneticPr fontId="3" type="noConversion"/>
  </si>
  <si>
    <t>시간(분)</t>
    <phoneticPr fontId="3" type="noConversion"/>
  </si>
  <si>
    <t>교반기</t>
    <phoneticPr fontId="3" type="noConversion"/>
  </si>
  <si>
    <t>2번
열처리</t>
    <phoneticPr fontId="3" type="noConversion"/>
  </si>
  <si>
    <t>Caburizing</t>
    <phoneticPr fontId="3" type="noConversion"/>
  </si>
  <si>
    <t>Diffusion</t>
    <phoneticPr fontId="3" type="noConversion"/>
  </si>
  <si>
    <t>Quenching</t>
    <phoneticPr fontId="3" type="noConversion"/>
  </si>
  <si>
    <t>추출완료시간</t>
    <phoneticPr fontId="3" type="noConversion"/>
  </si>
  <si>
    <t>SP-1</t>
    <phoneticPr fontId="3" type="noConversion"/>
  </si>
  <si>
    <t>SP-2</t>
    <phoneticPr fontId="3" type="noConversion"/>
  </si>
  <si>
    <t>SP-3</t>
    <phoneticPr fontId="3" type="noConversion"/>
  </si>
  <si>
    <t>SP-4</t>
    <phoneticPr fontId="3" type="noConversion"/>
  </si>
  <si>
    <t>시간</t>
    <phoneticPr fontId="3" type="noConversion"/>
  </si>
  <si>
    <t>ㅡ</t>
    <phoneticPr fontId="3" type="noConversion"/>
  </si>
  <si>
    <t>C.P(%)</t>
    <phoneticPr fontId="3" type="noConversion"/>
  </si>
  <si>
    <t>처리장비</t>
    <phoneticPr fontId="3" type="noConversion"/>
  </si>
  <si>
    <t>① ② ③ 호기</t>
    <phoneticPr fontId="3" type="noConversion"/>
  </si>
  <si>
    <t>NH3(ℓ/min)</t>
    <phoneticPr fontId="3" type="noConversion"/>
  </si>
  <si>
    <t>CUT</t>
    <phoneticPr fontId="3" type="noConversion"/>
  </si>
  <si>
    <t>투입시간</t>
    <phoneticPr fontId="3" type="noConversion"/>
  </si>
  <si>
    <t>CO2(%)</t>
    <phoneticPr fontId="3" type="noConversion"/>
  </si>
  <si>
    <t>0.22%~0.28%</t>
    <phoneticPr fontId="3" type="noConversion"/>
  </si>
  <si>
    <t>RX-GAS(㎥/Hr)</t>
    <phoneticPr fontId="3" type="noConversion"/>
  </si>
  <si>
    <r>
      <t>15 [-5 ~ +10 M</t>
    </r>
    <r>
      <rPr>
        <b/>
        <vertAlign val="superscript"/>
        <sz val="10"/>
        <rFont val="바탕체"/>
        <family val="1"/>
        <charset val="129"/>
      </rPr>
      <t>3</t>
    </r>
    <r>
      <rPr>
        <b/>
        <sz val="10"/>
        <rFont val="바탕체"/>
        <family val="1"/>
        <charset val="129"/>
      </rPr>
      <t>/Hr]</t>
    </r>
    <phoneticPr fontId="3" type="noConversion"/>
  </si>
  <si>
    <t>⊙ 작업내용</t>
    <phoneticPr fontId="3" type="noConversion"/>
  </si>
  <si>
    <t>3번
후세정</t>
    <phoneticPr fontId="3" type="noConversion"/>
  </si>
  <si>
    <t>구분</t>
    <phoneticPr fontId="3" type="noConversion"/>
  </si>
  <si>
    <t>세정모드</t>
    <phoneticPr fontId="3" type="noConversion"/>
  </si>
  <si>
    <t>A 형</t>
    <phoneticPr fontId="3" type="noConversion"/>
  </si>
  <si>
    <t>B 형</t>
    <phoneticPr fontId="3" type="noConversion"/>
  </si>
  <si>
    <t>C 형</t>
    <phoneticPr fontId="3" type="noConversion"/>
  </si>
  <si>
    <t>시험편
채취규정</t>
    <phoneticPr fontId="3" type="noConversion"/>
  </si>
  <si>
    <t>관리규정</t>
    <phoneticPr fontId="3" type="noConversion"/>
  </si>
  <si>
    <t>표면경도</t>
    <phoneticPr fontId="3" type="noConversion"/>
  </si>
  <si>
    <t>x1</t>
    <phoneticPr fontId="3" type="noConversion"/>
  </si>
  <si>
    <t>x2</t>
    <phoneticPr fontId="3" type="noConversion"/>
  </si>
  <si>
    <t>테이블/행거</t>
    <phoneticPr fontId="3" type="noConversion"/>
  </si>
  <si>
    <t>전달사항</t>
    <phoneticPr fontId="3" type="noConversion"/>
  </si>
  <si>
    <t>단시간</t>
    <phoneticPr fontId="3" type="noConversion"/>
  </si>
  <si>
    <t>서식-GP-021 A4(0)</t>
    <phoneticPr fontId="3" type="noConversion"/>
  </si>
  <si>
    <t>ㅡ㈜금 구ㅡ</t>
    <phoneticPr fontId="3" type="noConversion"/>
  </si>
  <si>
    <t>A4(210*297)mm</t>
    <phoneticPr fontId="3" type="noConversion"/>
  </si>
  <si>
    <t>수주번호</t>
    <phoneticPr fontId="3" type="noConversion"/>
  </si>
  <si>
    <t>LOT NO. 위치</t>
    <phoneticPr fontId="3" type="noConversion"/>
  </si>
  <si>
    <t>처리장비추출</t>
    <phoneticPr fontId="3" type="noConversion"/>
  </si>
  <si>
    <t>장비숫자변환</t>
    <phoneticPr fontId="3" type="noConversion"/>
  </si>
  <si>
    <t>채위 위치</t>
    <phoneticPr fontId="3" type="noConversion"/>
  </si>
  <si>
    <t>쇼트</t>
    <phoneticPr fontId="3" type="noConversion"/>
  </si>
  <si>
    <t>장시간</t>
    <phoneticPr fontId="3" type="noConversion"/>
  </si>
  <si>
    <t>30분x2회</t>
    <phoneticPr fontId="3" type="noConversion"/>
  </si>
  <si>
    <t>경화깊이</t>
    <phoneticPr fontId="3" type="noConversion"/>
  </si>
  <si>
    <t>내부경도</t>
    <phoneticPr fontId="3" type="noConversion"/>
  </si>
  <si>
    <t>치수측정</t>
    <phoneticPr fontId="3" type="noConversion"/>
  </si>
  <si>
    <t>1번
전세정</t>
    <phoneticPr fontId="3" type="noConversion"/>
  </si>
  <si>
    <t>1번</t>
    <phoneticPr fontId="3" type="noConversion"/>
  </si>
  <si>
    <t>전세정</t>
    <phoneticPr fontId="3" type="noConversion"/>
  </si>
  <si>
    <t>2번</t>
    <phoneticPr fontId="3" type="noConversion"/>
  </si>
  <si>
    <t>열처리</t>
    <phoneticPr fontId="3" type="noConversion"/>
  </si>
  <si>
    <t>3번</t>
    <phoneticPr fontId="3" type="noConversion"/>
  </si>
  <si>
    <t>후세정</t>
    <phoneticPr fontId="3" type="noConversion"/>
  </si>
  <si>
    <t>4번</t>
    <phoneticPr fontId="3" type="noConversion"/>
  </si>
  <si>
    <t>6번</t>
    <phoneticPr fontId="3" type="noConversion"/>
  </si>
  <si>
    <r>
      <rPr>
        <sz val="10"/>
        <rFont val="맑은 고딕"/>
        <family val="3"/>
        <charset val="129"/>
      </rPr>
      <t>●</t>
    </r>
    <r>
      <rPr>
        <sz val="10"/>
        <rFont val="바탕체"/>
        <family val="1"/>
        <charset val="129"/>
      </rPr>
      <t xml:space="preserve"> 진공세정</t>
    </r>
    <phoneticPr fontId="3" type="noConversion"/>
  </si>
  <si>
    <t>에이프론</t>
    <phoneticPr fontId="3" type="noConversion"/>
  </si>
  <si>
    <t>10분x2회</t>
    <phoneticPr fontId="3" type="noConversion"/>
  </si>
  <si>
    <t>검사 주기</t>
    <phoneticPr fontId="3" type="noConversion"/>
  </si>
  <si>
    <t>매lot</t>
    <phoneticPr fontId="3" type="noConversion"/>
  </si>
  <si>
    <t>중시간</t>
    <phoneticPr fontId="3" type="noConversion"/>
  </si>
  <si>
    <t>20분x2회</t>
    <phoneticPr fontId="3" type="noConversion"/>
  </si>
  <si>
    <t>x3</t>
    <phoneticPr fontId="3" type="noConversion"/>
  </si>
  <si>
    <t>후공정 진행</t>
    <phoneticPr fontId="3" type="noConversion"/>
  </si>
  <si>
    <t>바렐</t>
    <phoneticPr fontId="3" type="noConversion"/>
  </si>
  <si>
    <t>샌딩</t>
    <phoneticPr fontId="3" type="noConversion"/>
  </si>
  <si>
    <t>검사항목</t>
    <phoneticPr fontId="3" type="noConversion"/>
  </si>
  <si>
    <t>검사규정</t>
    <phoneticPr fontId="3" type="noConversion"/>
  </si>
  <si>
    <t>4번 소려</t>
    <phoneticPr fontId="3" type="noConversion"/>
  </si>
  <si>
    <t>소려</t>
    <phoneticPr fontId="3" type="noConversion"/>
  </si>
  <si>
    <t>특이사항</t>
    <phoneticPr fontId="3" type="noConversion"/>
  </si>
  <si>
    <t>7번</t>
    <phoneticPr fontId="3" type="noConversion"/>
  </si>
  <si>
    <t>전수교정</t>
    <phoneticPr fontId="3" type="noConversion"/>
  </si>
  <si>
    <t>교정</t>
    <phoneticPr fontId="3" type="noConversion"/>
  </si>
  <si>
    <t>동축도
0.08mm
이내</t>
    <phoneticPr fontId="3" type="noConversion"/>
  </si>
  <si>
    <t>쇼트</t>
    <phoneticPr fontId="3" type="noConversion"/>
  </si>
  <si>
    <t>단시간</t>
    <phoneticPr fontId="3" type="noConversion"/>
  </si>
  <si>
    <t>20분</t>
    <phoneticPr fontId="3" type="noConversion"/>
  </si>
  <si>
    <t>30분</t>
    <phoneticPr fontId="3" type="noConversion"/>
  </si>
  <si>
    <t>40분</t>
    <phoneticPr fontId="3" type="noConversion"/>
  </si>
  <si>
    <t>●</t>
    <phoneticPr fontId="3" type="noConversion"/>
  </si>
  <si>
    <r>
      <rPr>
        <sz val="10"/>
        <rFont val="돋움"/>
        <family val="3"/>
        <charset val="129"/>
      </rPr>
      <t>※</t>
    </r>
    <r>
      <rPr>
        <sz val="10"/>
        <rFont val="바탕체"/>
        <family val="1"/>
        <charset val="129"/>
      </rPr>
      <t>관리규정에준하여교정실시</t>
    </r>
    <phoneticPr fontId="3" type="noConversion"/>
  </si>
  <si>
    <t>ㅡ㈜금 구ㅡ</t>
    <phoneticPr fontId="3" type="noConversion"/>
  </si>
  <si>
    <t>응력제거</t>
    <phoneticPr fontId="3" type="noConversion"/>
  </si>
  <si>
    <t>공정
lot no.</t>
    <phoneticPr fontId="3" type="noConversion"/>
  </si>
  <si>
    <t>열처리
구분</t>
    <phoneticPr fontId="3" type="noConversion"/>
  </si>
  <si>
    <t>품   번</t>
    <phoneticPr fontId="3" type="noConversion"/>
  </si>
  <si>
    <r>
      <t xml:space="preserve">수주 no.
</t>
    </r>
    <r>
      <rPr>
        <sz val="9"/>
        <rFont val="바탕체"/>
        <family val="1"/>
        <charset val="129"/>
      </rPr>
      <t>[전산번호]</t>
    </r>
    <phoneticPr fontId="3" type="noConversion"/>
  </si>
  <si>
    <t>재   질</t>
    <phoneticPr fontId="3" type="noConversion"/>
  </si>
  <si>
    <t>품   명</t>
    <phoneticPr fontId="3" type="noConversion"/>
  </si>
  <si>
    <t>처리장비</t>
    <phoneticPr fontId="3" type="noConversion"/>
  </si>
  <si>
    <t>고 객 명 :</t>
    <phoneticPr fontId="3" type="noConversion"/>
  </si>
  <si>
    <t>6번 소려</t>
    <phoneticPr fontId="3" type="noConversion"/>
  </si>
  <si>
    <t>100℃±10℃</t>
    <phoneticPr fontId="3" type="noConversion"/>
  </si>
  <si>
    <t>40M</t>
    <phoneticPr fontId="3" type="noConversion"/>
  </si>
  <si>
    <t>60Hz</t>
    <phoneticPr fontId="3" type="noConversion"/>
  </si>
  <si>
    <t>930℃±10℃</t>
    <phoneticPr fontId="3" type="noConversion"/>
  </si>
  <si>
    <t>5Hr00M</t>
    <phoneticPr fontId="3" type="noConversion"/>
  </si>
  <si>
    <t>CUT</t>
    <phoneticPr fontId="3" type="noConversion"/>
  </si>
  <si>
    <t>860℃±10℃</t>
    <phoneticPr fontId="3" type="noConversion"/>
  </si>
  <si>
    <t>20M</t>
    <phoneticPr fontId="3" type="noConversion"/>
  </si>
  <si>
    <t>180℃±5℃</t>
    <phoneticPr fontId="3" type="noConversion"/>
  </si>
  <si>
    <t>2Hr00M</t>
    <phoneticPr fontId="3" type="noConversion"/>
  </si>
  <si>
    <t>템퍼링로 - 2호기</t>
    <phoneticPr fontId="3" type="noConversion"/>
  </si>
  <si>
    <t>IN-OUT TYPE</t>
    <phoneticPr fontId="3" type="noConversion"/>
  </si>
  <si>
    <t>강온
MAX 100℃/Hr
~MIN 30℃/Hr</t>
    <phoneticPr fontId="3" type="noConversion"/>
  </si>
  <si>
    <t>설정값 0.40%</t>
    <phoneticPr fontId="3" type="noConversion"/>
  </si>
  <si>
    <t>저장실</t>
    <phoneticPr fontId="3" type="noConversion"/>
  </si>
  <si>
    <t>세척실</t>
    <phoneticPr fontId="3" type="noConversion"/>
  </si>
  <si>
    <t>○</t>
    <phoneticPr fontId="3" type="noConversion"/>
  </si>
  <si>
    <r>
      <rPr>
        <sz val="10"/>
        <rFont val="맑은 고딕"/>
        <family val="3"/>
        <charset val="129"/>
      </rPr>
      <t>○</t>
    </r>
    <r>
      <rPr>
        <sz val="10"/>
        <rFont val="바탕체"/>
        <family val="1"/>
        <charset val="129"/>
      </rPr>
      <t xml:space="preserve"> 진공세정</t>
    </r>
    <phoneticPr fontId="3" type="noConversion"/>
  </si>
  <si>
    <t>1.25%</t>
    <phoneticPr fontId="3" type="noConversion"/>
  </si>
  <si>
    <t>0.80%</t>
    <phoneticPr fontId="3" type="noConversion"/>
  </si>
  <si>
    <t>0.70%</t>
    <phoneticPr fontId="3" type="noConversion"/>
  </si>
  <si>
    <t>MAX 90℃</t>
    <phoneticPr fontId="3" type="noConversion"/>
  </si>
  <si>
    <t>75±15℃</t>
    <phoneticPr fontId="3" type="noConversion"/>
  </si>
  <si>
    <t>● 진공세정</t>
    <phoneticPr fontId="3" type="noConversion"/>
  </si>
  <si>
    <t>검사규정</t>
    <phoneticPr fontId="3" type="noConversion"/>
  </si>
  <si>
    <t>검사주기</t>
    <phoneticPr fontId="3" type="noConversion"/>
  </si>
  <si>
    <t>※제품별 검사협정서에 준하여 실시</t>
    <phoneticPr fontId="3" type="noConversion"/>
  </si>
  <si>
    <t>_</t>
  </si>
  <si>
    <t>교정후템퍼링진행</t>
    <phoneticPr fontId="3" type="noConversion"/>
  </si>
  <si>
    <t>LOT
실수량</t>
    <phoneticPr fontId="3" type="noConversion"/>
  </si>
  <si>
    <t>(주,야)</t>
    <phoneticPr fontId="3" type="noConversion"/>
  </si>
  <si>
    <t>x2</t>
    <phoneticPr fontId="3" type="noConversion"/>
  </si>
  <si>
    <t>상</t>
    <phoneticPr fontId="3" type="noConversion"/>
  </si>
  <si>
    <t>중</t>
    <phoneticPr fontId="3" type="noConversion"/>
  </si>
  <si>
    <t>GMB01-16-H</t>
    <phoneticPr fontId="3" type="noConversion"/>
  </si>
  <si>
    <r>
      <t>측정값
[</t>
    </r>
    <r>
      <rPr>
        <sz val="8"/>
        <rFont val="바탕체"/>
        <family val="1"/>
        <charset val="129"/>
      </rPr>
      <t>※검사협정서참조]</t>
    </r>
    <phoneticPr fontId="3" type="noConversion"/>
  </si>
  <si>
    <t>x1</t>
    <phoneticPr fontId="3" type="noConversion"/>
  </si>
  <si>
    <t>열처리작업표 개정이력</t>
    <phoneticPr fontId="40" type="noConversion"/>
  </si>
  <si>
    <t>REV. NO.</t>
    <phoneticPr fontId="37" type="noConversion"/>
  </si>
  <si>
    <t>개정일자</t>
    <phoneticPr fontId="37" type="noConversion"/>
  </si>
  <si>
    <t>개정사유</t>
    <phoneticPr fontId="37" type="noConversion"/>
  </si>
  <si>
    <t>작성</t>
    <phoneticPr fontId="37" type="noConversion"/>
  </si>
  <si>
    <t>검토</t>
    <phoneticPr fontId="37" type="noConversion"/>
  </si>
  <si>
    <t>승인</t>
    <phoneticPr fontId="37" type="noConversion"/>
  </si>
  <si>
    <t>0</t>
    <phoneticPr fontId="3" type="noConversion"/>
  </si>
  <si>
    <t>2011.03.01</t>
    <phoneticPr fontId="37" type="noConversion"/>
  </si>
  <si>
    <t>신규작성</t>
    <phoneticPr fontId="37" type="noConversion"/>
  </si>
  <si>
    <t>김태훈</t>
    <phoneticPr fontId="40" type="noConversion"/>
  </si>
  <si>
    <t>이동희</t>
    <phoneticPr fontId="37" type="noConversion"/>
  </si>
  <si>
    <t>2017.09.30</t>
    <phoneticPr fontId="3" type="noConversion"/>
  </si>
  <si>
    <t>전종경</t>
    <phoneticPr fontId="40" type="noConversion"/>
  </si>
  <si>
    <t>이동희</t>
    <phoneticPr fontId="40" type="noConversion"/>
  </si>
  <si>
    <t>제품 적재방법</t>
    <phoneticPr fontId="3" type="noConversion"/>
  </si>
  <si>
    <t>걸어서 적재</t>
    <phoneticPr fontId="3" type="noConversion"/>
  </si>
  <si>
    <t>깔아서 적재</t>
    <phoneticPr fontId="3" type="noConversion"/>
  </si>
  <si>
    <t>열 처 리 작 업 표</t>
    <phoneticPr fontId="3" type="noConversion"/>
  </si>
  <si>
    <t>발행자</t>
    <phoneticPr fontId="3" type="noConversion"/>
  </si>
  <si>
    <t>이동희</t>
    <phoneticPr fontId="3" type="noConversion"/>
  </si>
  <si>
    <t>○</t>
    <phoneticPr fontId="3" type="noConversion"/>
  </si>
  <si>
    <t>표준수량</t>
  </si>
  <si>
    <t>4번</t>
    <phoneticPr fontId="3" type="noConversion"/>
  </si>
  <si>
    <t>주문수량</t>
    <phoneticPr fontId="3" type="noConversion"/>
  </si>
  <si>
    <t>표준작업 확인내용</t>
    <phoneticPr fontId="3" type="noConversion"/>
  </si>
  <si>
    <t>① 장입표준 준수</t>
    <phoneticPr fontId="3" type="noConversion"/>
  </si>
  <si>
    <t>② 제품사양 확인</t>
    <phoneticPr fontId="3" type="noConversion"/>
  </si>
  <si>
    <t>준비
작업자</t>
    <phoneticPr fontId="3" type="noConversion"/>
  </si>
  <si>
    <t>설비
투입자</t>
    <phoneticPr fontId="3" type="noConversion"/>
  </si>
  <si>
    <t xml:space="preserve"> (주,야)</t>
    <phoneticPr fontId="3" type="noConversion"/>
  </si>
  <si>
    <t>공정표준준수 확인란</t>
    <phoneticPr fontId="3" type="noConversion"/>
  </si>
  <si>
    <t>○</t>
    <phoneticPr fontId="3" type="noConversion"/>
  </si>
  <si>
    <r>
      <t xml:space="preserve">1.연속적 기록온도는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r>
      <rPr>
        <b/>
        <sz val="10"/>
        <rFont val="바탕체"/>
        <family val="1"/>
        <charset val="129"/>
      </rPr>
      <t xml:space="preserve">
2.CP값은 자동컨트롤 밸브타입으로 안정화후 </t>
    </r>
    <r>
      <rPr>
        <b/>
        <sz val="10"/>
        <color rgb="FFFF0000"/>
        <rFont val="바탕체"/>
        <family val="1"/>
        <charset val="129"/>
      </rPr>
      <t xml:space="preserve">±0.05%
  </t>
    </r>
    <r>
      <rPr>
        <b/>
        <sz val="10"/>
        <rFont val="바탕체"/>
        <family val="1"/>
        <charset val="129"/>
      </rPr>
      <t xml:space="preserve"> [상한경보는 1.5%,하한경보는 0.2%로 관리]</t>
    </r>
    <r>
      <rPr>
        <b/>
        <sz val="10"/>
        <color rgb="FFFF0000"/>
        <rFont val="바탕체"/>
        <family val="1"/>
        <charset val="129"/>
      </rPr>
      <t xml:space="preserve">
</t>
    </r>
    <r>
      <rPr>
        <b/>
        <sz val="10"/>
        <rFont val="바탕체"/>
        <family val="1"/>
        <charset val="129"/>
      </rPr>
      <t xml:space="preserve">3.이종제품 혼입금지(재질,탄소량,크기)
4.공정간이동 4시간이내 진행할것[교정공정 12시간이내)
5.침탄 및 담금질 공정 재열처리금지[GM-QP-1024준수]
6.장입표준 미준수시 냉각능부족 및 경화능 산포로 내구성저하등의 심각한 문제발생됨  </t>
    </r>
    <r>
      <rPr>
        <b/>
        <sz val="10"/>
        <color rgb="FFFF0000"/>
        <rFont val="바탕체"/>
        <family val="1"/>
        <charset val="129"/>
      </rPr>
      <t>[장입표준 반드시 준수]</t>
    </r>
    <phoneticPr fontId="3" type="noConversion"/>
  </si>
  <si>
    <t>서식-GP-021 A4(1)</t>
    <phoneticPr fontId="3" type="noConversion"/>
  </si>
  <si>
    <r>
      <t xml:space="preserve">1.연속적 기록온도는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r>
      <rPr>
        <b/>
        <sz val="10"/>
        <rFont val="바탕체"/>
        <family val="1"/>
        <charset val="129"/>
      </rPr>
      <t xml:space="preserve">
2.CP값은 자동컨트롤 밸브타입으로 안정화후 </t>
    </r>
    <r>
      <rPr>
        <b/>
        <sz val="10"/>
        <color rgb="FFFF0000"/>
        <rFont val="바탕체"/>
        <family val="1"/>
        <charset val="129"/>
      </rPr>
      <t xml:space="preserve">±0.05%
  </t>
    </r>
    <r>
      <rPr>
        <b/>
        <sz val="10"/>
        <rFont val="바탕체"/>
        <family val="1"/>
        <charset val="129"/>
      </rPr>
      <t xml:space="preserve"> [상한경보는 1.5%,하한경보는 0.2%로 관리]</t>
    </r>
    <r>
      <rPr>
        <b/>
        <sz val="10"/>
        <color rgb="FFFF0000"/>
        <rFont val="바탕체"/>
        <family val="1"/>
        <charset val="129"/>
      </rPr>
      <t xml:space="preserve">
</t>
    </r>
    <r>
      <rPr>
        <b/>
        <sz val="10"/>
        <rFont val="바탕체"/>
        <family val="1"/>
        <charset val="129"/>
      </rPr>
      <t xml:space="preserve">3.이종제품 혼입금지(재질,탄소량,크기)
4.공정간이동 4시간이내 진행할것[교정공정 12시간이내)
5.침탄 및 담금질 공정 재열처리금지[GM-QP-1024준수]
6.장입표준 미준수시 냉각능부족 및 경화능 산포로 내구성저하등의 심각한 문제발생됨  </t>
    </r>
    <r>
      <rPr>
        <b/>
        <sz val="10"/>
        <color rgb="FFFF0000"/>
        <rFont val="바탕체"/>
        <family val="1"/>
        <charset val="129"/>
      </rPr>
      <t xml:space="preserve">[장입표준 반드시 준수]
</t>
    </r>
    <r>
      <rPr>
        <b/>
        <sz val="10"/>
        <rFont val="바탕체"/>
        <family val="1"/>
        <charset val="129"/>
      </rPr>
      <t>7.출하검사 시험편 발취시 지침서</t>
    </r>
    <r>
      <rPr>
        <b/>
        <sz val="10"/>
        <color rgb="FFFF0000"/>
        <rFont val="바탕체"/>
        <family val="1"/>
        <charset val="129"/>
      </rPr>
      <t>[GM-QP-1037]</t>
    </r>
    <r>
      <rPr>
        <b/>
        <sz val="10"/>
        <rFont val="바탕체"/>
        <family val="1"/>
        <charset val="129"/>
      </rPr>
      <t>준수할것</t>
    </r>
    <phoneticPr fontId="3" type="noConversion"/>
  </si>
  <si>
    <r>
      <t>확인</t>
    </r>
    <r>
      <rPr>
        <sz val="10"/>
        <rFont val="맑은 고딕"/>
        <family val="3"/>
        <charset val="129"/>
      </rPr>
      <t xml:space="preserve"> 및 전달</t>
    </r>
    <r>
      <rPr>
        <sz val="10"/>
        <rFont val="돋움"/>
        <family val="3"/>
        <charset val="129"/>
      </rPr>
      <t xml:space="preserve">사항추가
</t>
    </r>
    <r>
      <rPr>
        <sz val="10"/>
        <rFont val="맑은 고딕"/>
        <family val="3"/>
        <charset val="129"/>
      </rPr>
      <t>①적재방법명기 ②준비작업자확인란 ③공전투입전확인란
 ④장입표준준수 사유명기 ⑤출하검사 시험편 발취지침추가</t>
    </r>
    <phoneticPr fontId="40" type="noConversion"/>
  </si>
  <si>
    <t>75±15℃</t>
    <phoneticPr fontId="3" type="noConversion"/>
  </si>
  <si>
    <t>MAX 90℃</t>
    <phoneticPr fontId="3" type="noConversion"/>
  </si>
  <si>
    <t>2번
응력
제거</t>
    <phoneticPr fontId="3" type="noConversion"/>
  </si>
  <si>
    <t>응력제거온도</t>
    <phoneticPr fontId="3" type="noConversion"/>
  </si>
  <si>
    <t>응력제거시간</t>
    <phoneticPr fontId="3" type="noConversion"/>
  </si>
  <si>
    <t>-</t>
    <phoneticPr fontId="3" type="noConversion"/>
  </si>
  <si>
    <t>2 Hr</t>
    <phoneticPr fontId="3" type="noConversion"/>
  </si>
  <si>
    <t>공냉처리</t>
    <phoneticPr fontId="3" type="noConversion"/>
  </si>
  <si>
    <t>650℃</t>
  </si>
  <si>
    <t xml:space="preserve"> (주,야)</t>
    <phoneticPr fontId="3" type="noConversion"/>
  </si>
  <si>
    <t>제품 적재방법</t>
    <phoneticPr fontId="3" type="noConversion"/>
  </si>
  <si>
    <t>걸어서 적재</t>
    <phoneticPr fontId="3" type="noConversion"/>
  </si>
  <si>
    <t>깔아서 적재</t>
    <phoneticPr fontId="3" type="noConversion"/>
  </si>
  <si>
    <r>
      <t xml:space="preserve">중간부 </t>
    </r>
    <r>
      <rPr>
        <sz val="10"/>
        <rFont val="맑은 고딕"/>
        <family val="3"/>
        <charset val="129"/>
      </rPr>
      <t>①</t>
    </r>
    <r>
      <rPr>
        <sz val="10"/>
        <rFont val="굴림체"/>
        <family val="3"/>
        <charset val="129"/>
      </rPr>
      <t>번</t>
    </r>
    <r>
      <rPr>
        <sz val="10"/>
        <rFont val="바탕체"/>
        <family val="1"/>
        <charset val="129"/>
      </rPr>
      <t xml:space="preserve"> 채취</t>
    </r>
    <phoneticPr fontId="3" type="noConversion"/>
  </si>
  <si>
    <t>[전 달 사 항]</t>
    <phoneticPr fontId="3" type="noConversion"/>
  </si>
  <si>
    <t>5번</t>
    <phoneticPr fontId="3" type="noConversion"/>
  </si>
  <si>
    <t>7번 검사 [중간검사 &amp; 출하검사]</t>
    <phoneticPr fontId="3" type="noConversion"/>
  </si>
  <si>
    <t>8번 출하검사</t>
    <phoneticPr fontId="3" type="noConversion"/>
  </si>
  <si>
    <t>5번 출하검사</t>
    <phoneticPr fontId="3" type="noConversion"/>
  </si>
  <si>
    <t>5번
중간
검사</t>
    <phoneticPr fontId="3" type="noConversion"/>
  </si>
  <si>
    <t>관리규정</t>
    <phoneticPr fontId="3" type="noConversion"/>
  </si>
  <si>
    <r>
      <rPr>
        <b/>
        <sz val="11"/>
        <rFont val="바탕체"/>
        <family val="1"/>
        <charset val="129"/>
      </rPr>
      <t>5번 중간검사</t>
    </r>
    <r>
      <rPr>
        <b/>
        <sz val="9"/>
        <rFont val="바탕체"/>
        <family val="1"/>
        <charset val="129"/>
      </rPr>
      <t xml:space="preserve">
[</t>
    </r>
    <r>
      <rPr>
        <b/>
        <sz val="8"/>
        <rFont val="바탕체"/>
        <family val="1"/>
        <charset val="129"/>
      </rPr>
      <t>※검사협정서참조]</t>
    </r>
    <phoneticPr fontId="3" type="noConversion"/>
  </si>
  <si>
    <t>안전보안부품</t>
    <phoneticPr fontId="3" type="noConversion"/>
  </si>
  <si>
    <r>
      <t xml:space="preserve">1.연속적 기록온도는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phoneticPr fontId="3" type="noConversion"/>
  </si>
  <si>
    <t>30분x2회</t>
  </si>
  <si>
    <t>40분x2회</t>
    <phoneticPr fontId="3" type="noConversion"/>
  </si>
  <si>
    <r>
      <t xml:space="preserve">2.CP값은 자동컨트롤 밸브타입으로 안정화후 </t>
    </r>
    <r>
      <rPr>
        <b/>
        <sz val="10"/>
        <color rgb="FFFF0000"/>
        <rFont val="바탕체"/>
        <family val="1"/>
        <charset val="129"/>
      </rPr>
      <t>±0.05%</t>
    </r>
    <phoneticPr fontId="3" type="noConversion"/>
  </si>
  <si>
    <t>피막</t>
    <phoneticPr fontId="3" type="noConversion"/>
  </si>
  <si>
    <r>
      <t xml:space="preserve"> [상한경보는</t>
    </r>
    <r>
      <rPr>
        <b/>
        <sz val="10"/>
        <color rgb="FFFF0000"/>
        <rFont val="바탕체"/>
        <family val="1"/>
        <charset val="129"/>
      </rPr>
      <t xml:space="preserve"> 1.5%</t>
    </r>
    <r>
      <rPr>
        <b/>
        <sz val="10"/>
        <rFont val="바탕체"/>
        <family val="1"/>
        <charset val="129"/>
      </rPr>
      <t xml:space="preserve">,하한경보는 </t>
    </r>
    <r>
      <rPr>
        <b/>
        <sz val="10"/>
        <color rgb="FFFF0000"/>
        <rFont val="바탕체"/>
        <family val="1"/>
        <charset val="129"/>
      </rPr>
      <t>0.2%</t>
    </r>
    <r>
      <rPr>
        <b/>
        <sz val="10"/>
        <rFont val="바탕체"/>
        <family val="1"/>
        <charset val="129"/>
      </rPr>
      <t>로 관리]</t>
    </r>
    <phoneticPr fontId="3" type="noConversion"/>
  </si>
  <si>
    <t>3.이종제품 혼입금지(재질,탄소량,크기)</t>
    <phoneticPr fontId="3" type="noConversion"/>
  </si>
  <si>
    <t>4.공정간이동 4시간이내 진행할것[교정공정 12시간이내)</t>
    <phoneticPr fontId="3" type="noConversion"/>
  </si>
  <si>
    <t>5.침탄 및 담금질 공정 재열처리금지[GM-QP-1024준수]</t>
    <phoneticPr fontId="3" type="noConversion"/>
  </si>
  <si>
    <t>6.장입표준 미준수시 냉각능부족 및 경화능 산포로 내구성</t>
    <phoneticPr fontId="3" type="noConversion"/>
  </si>
  <si>
    <r>
      <t xml:space="preserve">  저하등의 심각한 문제발생됨 </t>
    </r>
    <r>
      <rPr>
        <b/>
        <sz val="10"/>
        <color rgb="FFFF0000"/>
        <rFont val="바탕체"/>
        <family val="1"/>
        <charset val="129"/>
      </rPr>
      <t xml:space="preserve"> [장입표준 반드시 준수]</t>
    </r>
    <phoneticPr fontId="3" type="noConversion"/>
  </si>
  <si>
    <r>
      <t>7.출하검사 시험편 발취시 지침서</t>
    </r>
    <r>
      <rPr>
        <b/>
        <sz val="10"/>
        <color rgb="FFFF0000"/>
        <rFont val="바탕체"/>
        <family val="1"/>
        <charset val="129"/>
      </rPr>
      <t>[GM-QP-1037]</t>
    </r>
    <r>
      <rPr>
        <b/>
        <sz val="10"/>
        <rFont val="바탕체"/>
        <family val="1"/>
        <charset val="129"/>
      </rPr>
      <t>준수할것</t>
    </r>
    <phoneticPr fontId="3" type="noConversion"/>
  </si>
  <si>
    <t>테이블
/행거</t>
    <phoneticPr fontId="3" type="noConversion"/>
  </si>
  <si>
    <t>15분x2회</t>
    <phoneticPr fontId="3" type="noConversion"/>
  </si>
  <si>
    <t>중시간</t>
    <phoneticPr fontId="3" type="noConversion"/>
  </si>
  <si>
    <t>응력 제거설비</t>
    <phoneticPr fontId="3" type="noConversion"/>
  </si>
  <si>
    <t>패턴
번호</t>
    <phoneticPr fontId="3" type="noConversion"/>
  </si>
  <si>
    <t>시편 발취위치</t>
    <phoneticPr fontId="3" type="noConversion"/>
  </si>
  <si>
    <t>하</t>
    <phoneticPr fontId="3" type="noConversion"/>
  </si>
  <si>
    <t>[표면경도 측정값]</t>
    <phoneticPr fontId="3" type="noConversion"/>
  </si>
  <si>
    <t>구 분</t>
    <phoneticPr fontId="3" type="noConversion"/>
  </si>
  <si>
    <t>x1</t>
    <phoneticPr fontId="3" type="noConversion"/>
  </si>
  <si>
    <t>x2</t>
  </si>
  <si>
    <t>x3</t>
  </si>
  <si>
    <t>x4</t>
  </si>
  <si>
    <t>x5</t>
  </si>
  <si>
    <t>비     고</t>
    <phoneticPr fontId="3" type="noConversion"/>
  </si>
  <si>
    <r>
      <rPr>
        <sz val="10"/>
        <rFont val="맑은 고딕"/>
        <family val="3"/>
        <charset val="129"/>
      </rPr>
      <t>○</t>
    </r>
    <r>
      <rPr>
        <sz val="10"/>
        <rFont val="바탕체"/>
        <family val="1"/>
        <charset val="129"/>
      </rPr>
      <t xml:space="preserve"> 진공세정</t>
    </r>
    <phoneticPr fontId="3" type="noConversion"/>
  </si>
  <si>
    <t>○</t>
    <phoneticPr fontId="3" type="noConversion"/>
  </si>
  <si>
    <t>Caburizing</t>
    <phoneticPr fontId="3" type="noConversion"/>
  </si>
  <si>
    <t>Diffusion</t>
    <phoneticPr fontId="3" type="noConversion"/>
  </si>
  <si>
    <t>-</t>
    <phoneticPr fontId="3" type="noConversion"/>
  </si>
  <si>
    <t>000000-00-00-00</t>
    <phoneticPr fontId="3" type="noConversion"/>
  </si>
  <si>
    <t>000000-00-00-00</t>
    <phoneticPr fontId="3" type="noConversion"/>
  </si>
  <si>
    <t>전세정여부</t>
    <phoneticPr fontId="3" type="noConversion"/>
  </si>
  <si>
    <t>열처리여부</t>
    <phoneticPr fontId="3" type="noConversion"/>
  </si>
  <si>
    <t>후세정여부</t>
    <phoneticPr fontId="3" type="noConversion"/>
  </si>
  <si>
    <t>소려여부</t>
    <phoneticPr fontId="3" type="noConversion"/>
  </si>
  <si>
    <t>교정여부</t>
    <phoneticPr fontId="3" type="noConversion"/>
  </si>
  <si>
    <t>쇼트여부</t>
    <phoneticPr fontId="3" type="noConversion"/>
  </si>
  <si>
    <t>후공정여부</t>
    <phoneticPr fontId="3" type="noConversion"/>
  </si>
  <si>
    <t>00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</si>
</sst>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&quot;BF-&quot;\ #"/>
    <numFmt numFmtId="177" formatCode="#\ &quot;EA&quot;"/>
    <numFmt numFmtId="178" formatCode="[$-F800]dddd\,\ mmmm\ dd\,\ yyyy"/>
    <numFmt numFmtId="179" formatCode="&quot;'&quot;#"/>
  </numFmts>
  <fonts count="49">
    <font>
      <sz val="11"/>
      <name val="돋움"/>
      <family val="3"/>
      <charset val="129"/>
    </font>
    <font>
      <sz val="11"/>
      <name val="돋움"/>
      <family val="3"/>
      <charset val="129"/>
    </font>
    <font>
      <sz val="20"/>
      <name val="HY헤드라인M"/>
      <family val="1"/>
      <charset val="129"/>
    </font>
    <font>
      <sz val="8"/>
      <name val="돋움"/>
      <family val="3"/>
      <charset val="129"/>
    </font>
    <font>
      <sz val="10"/>
      <name val="바탕체"/>
      <family val="1"/>
      <charset val="129"/>
    </font>
    <font>
      <b/>
      <sz val="11"/>
      <color theme="0"/>
      <name val="휴먼둥근헤드라인"/>
      <family val="1"/>
      <charset val="129"/>
    </font>
    <font>
      <sz val="11"/>
      <color theme="0"/>
      <name val="휴먼둥근헤드라인"/>
      <family val="1"/>
      <charset val="129"/>
    </font>
    <font>
      <sz val="10"/>
      <name val="돋움"/>
      <family val="3"/>
      <charset val="129"/>
    </font>
    <font>
      <sz val="9"/>
      <name val="바탕체"/>
      <family val="1"/>
      <charset val="129"/>
    </font>
    <font>
      <b/>
      <sz val="10"/>
      <color theme="0"/>
      <name val="바탕체"/>
      <family val="1"/>
      <charset val="129"/>
    </font>
    <font>
      <sz val="10"/>
      <name val="맑은 고딕"/>
      <family val="3"/>
      <charset val="129"/>
    </font>
    <font>
      <b/>
      <sz val="10"/>
      <color rgb="FFFF0000"/>
      <name val="바탕체"/>
      <family val="1"/>
      <charset val="129"/>
    </font>
    <font>
      <b/>
      <sz val="10"/>
      <name val="바탕체"/>
      <family val="1"/>
      <charset val="129"/>
    </font>
    <font>
      <b/>
      <sz val="10"/>
      <name val="돋움"/>
      <family val="3"/>
      <charset val="129"/>
    </font>
    <font>
      <b/>
      <vertAlign val="superscript"/>
      <sz val="10"/>
      <name val="바탕체"/>
      <family val="1"/>
      <charset val="129"/>
    </font>
    <font>
      <sz val="10"/>
      <name val="굴림체"/>
      <family val="3"/>
      <charset val="129"/>
    </font>
    <font>
      <sz val="14"/>
      <color rgb="FFFF0000"/>
      <name val="HY헤드라인M"/>
      <family val="1"/>
      <charset val="129"/>
    </font>
    <font>
      <sz val="9"/>
      <name val="HY견고딕"/>
      <family val="1"/>
      <charset val="129"/>
    </font>
    <font>
      <sz val="11"/>
      <color rgb="FF000000"/>
      <name val="굴림체"/>
      <family val="3"/>
      <charset val="129"/>
    </font>
    <font>
      <b/>
      <sz val="11"/>
      <color rgb="FFFF0000"/>
      <name val="바탕체"/>
      <family val="1"/>
      <charset val="129"/>
    </font>
    <font>
      <sz val="11"/>
      <name val="굴림체"/>
      <family val="3"/>
      <charset val="129"/>
    </font>
    <font>
      <sz val="10"/>
      <color theme="0"/>
      <name val="바탕체"/>
      <family val="1"/>
      <charset val="129"/>
    </font>
    <font>
      <sz val="26"/>
      <name val="Free 3 of 9 Extended"/>
    </font>
    <font>
      <b/>
      <sz val="11"/>
      <color theme="1"/>
      <name val="휴먼둥근헤드라인"/>
      <family val="1"/>
      <charset val="129"/>
    </font>
    <font>
      <b/>
      <sz val="11"/>
      <color theme="0"/>
      <name val="바탕체"/>
      <family val="1"/>
      <charset val="129"/>
    </font>
    <font>
      <b/>
      <sz val="10"/>
      <color theme="0"/>
      <name val="돋움"/>
      <family val="3"/>
      <charset val="129"/>
    </font>
    <font>
      <sz val="11"/>
      <name val="HY견고딕"/>
      <family val="1"/>
      <charset val="129"/>
    </font>
    <font>
      <b/>
      <sz val="9"/>
      <name val="바탕체"/>
      <family val="1"/>
      <charset val="129"/>
    </font>
    <font>
      <b/>
      <sz val="12"/>
      <color rgb="FFFF0000"/>
      <name val="바탕체"/>
      <family val="1"/>
      <charset val="129"/>
    </font>
    <font>
      <b/>
      <sz val="12"/>
      <color theme="0"/>
      <name val="바탕체"/>
      <family val="1"/>
      <charset val="129"/>
    </font>
    <font>
      <sz val="14"/>
      <color theme="0"/>
      <name val="HY헤드라인M"/>
      <family val="1"/>
      <charset val="129"/>
    </font>
    <font>
      <sz val="20"/>
      <color rgb="FFFF0000"/>
      <name val="HY견고딕"/>
      <family val="1"/>
      <charset val="129"/>
    </font>
    <font>
      <b/>
      <sz val="12"/>
      <name val="바탕체"/>
      <family val="1"/>
      <charset val="129"/>
    </font>
    <font>
      <sz val="11"/>
      <name val="바탕체"/>
      <family val="1"/>
      <charset val="129"/>
    </font>
    <font>
      <sz val="24"/>
      <color rgb="FFFF0000"/>
      <name val="HY헤드라인M"/>
      <family val="1"/>
      <charset val="129"/>
    </font>
    <font>
      <sz val="8"/>
      <color rgb="FFFF0000"/>
      <name val="바탕체"/>
      <family val="1"/>
      <charset val="129"/>
    </font>
    <font>
      <b/>
      <sz val="16"/>
      <color theme="0"/>
      <name val="HY헤드라인M"/>
      <family val="1"/>
      <charset val="129"/>
    </font>
    <font>
      <sz val="8"/>
      <name val="바탕체"/>
      <family val="1"/>
      <charset val="129"/>
    </font>
    <font>
      <b/>
      <sz val="10"/>
      <color theme="1"/>
      <name val="돋움"/>
      <family val="3"/>
      <charset val="129"/>
    </font>
    <font>
      <sz val="24"/>
      <name val="HY헤드라인M"/>
      <family val="1"/>
      <charset val="129"/>
    </font>
    <font>
      <sz val="8"/>
      <name val="굴림체"/>
      <family val="3"/>
      <charset val="129"/>
    </font>
    <font>
      <sz val="10"/>
      <name val="HY헤드라인M"/>
      <family val="1"/>
      <charset val="129"/>
    </font>
    <font>
      <b/>
      <sz val="8"/>
      <name val="바탕체"/>
      <family val="1"/>
      <charset val="129"/>
    </font>
    <font>
      <b/>
      <sz val="11"/>
      <name val="바탕체"/>
      <family val="1"/>
      <charset val="129"/>
    </font>
    <font>
      <b/>
      <sz val="28"/>
      <color rgb="FFFF0000"/>
      <name val="HY헤드라인M"/>
      <family val="1"/>
      <charset val="129"/>
    </font>
    <font>
      <sz val="12"/>
      <color rgb="FFFF0000"/>
      <name val="HY헤드라인M"/>
      <family val="1"/>
      <charset val="129"/>
    </font>
    <font>
      <b/>
      <sz val="12"/>
      <name val="돋움"/>
      <family val="3"/>
      <charset val="129"/>
    </font>
    <font>
      <b/>
      <sz val="14"/>
      <color theme="1"/>
      <name val="휴먼둥근헤드라인"/>
      <family val="1"/>
      <charset val="129"/>
    </font>
    <font>
      <sz val="18"/>
      <name val="HY헤드라인M"/>
      <family val="1"/>
      <charset val="129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 diagonalUp="1">
      <left/>
      <right/>
      <top style="medium">
        <color indexed="64"/>
      </top>
      <bottom/>
      <diagonal style="medium">
        <color indexed="64"/>
      </diagonal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 diagonalDown="1">
      <left/>
      <right/>
      <top/>
      <bottom/>
      <diagonal style="medium">
        <color indexed="64"/>
      </diagonal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 diagonalUp="1">
      <left/>
      <right/>
      <top/>
      <bottom/>
      <diagonal style="medium">
        <color indexed="64"/>
      </diagonal>
    </border>
    <border diagonalUp="1">
      <left/>
      <right style="medium">
        <color indexed="64"/>
      </right>
      <top/>
      <bottom/>
      <diagonal style="medium">
        <color indexed="64"/>
      </diagonal>
    </border>
    <border diagonalDown="1">
      <left style="medium">
        <color indexed="64"/>
      </left>
      <right/>
      <top/>
      <bottom/>
      <diagonal style="medium">
        <color indexed="64"/>
      </diagonal>
    </border>
    <border diagonalDown="1">
      <left/>
      <right style="medium">
        <color indexed="64"/>
      </right>
      <top/>
      <bottom/>
      <diagonal style="medium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 diagonalDown="1">
      <left style="medium">
        <color indexed="64"/>
      </left>
      <right style="medium">
        <color indexed="64"/>
      </right>
      <top/>
      <bottom/>
      <diagonal style="medium">
        <color indexed="64"/>
      </diagonal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 diagonalUp="1">
      <left style="medium">
        <color indexed="64"/>
      </left>
      <right/>
      <top/>
      <bottom/>
      <diagonal style="medium">
        <color indexed="64"/>
      </diagonal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801">
    <xf numFmtId="0" fontId="0" fillId="0" borderId="0" xfId="0">
      <alignment vertical="center"/>
    </xf>
    <xf numFmtId="0" fontId="4" fillId="0" borderId="12" xfId="0" applyFont="1" applyFill="1" applyBorder="1" applyAlignment="1">
      <alignment vertical="center" shrinkToFit="1"/>
    </xf>
    <xf numFmtId="0" fontId="7" fillId="0" borderId="0" xfId="0" applyFont="1" applyAlignment="1">
      <alignment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7" fillId="0" borderId="0" xfId="0" applyNumberFormat="1" applyFont="1" applyAlignment="1">
      <alignment vertical="center" shrinkToFit="1"/>
    </xf>
    <xf numFmtId="0" fontId="4" fillId="0" borderId="7" xfId="0" applyNumberFormat="1" applyFont="1" applyFill="1" applyBorder="1" applyAlignment="1">
      <alignment vertical="center" shrinkToFit="1"/>
    </xf>
    <xf numFmtId="0" fontId="4" fillId="0" borderId="6" xfId="0" applyNumberFormat="1" applyFont="1" applyFill="1" applyBorder="1" applyAlignment="1">
      <alignment vertical="center" shrinkToFit="1"/>
    </xf>
    <xf numFmtId="0" fontId="4" fillId="0" borderId="0" xfId="0" applyNumberFormat="1" applyFont="1" applyFill="1" applyBorder="1" applyAlignment="1">
      <alignment vertical="center" shrinkToFit="1"/>
    </xf>
    <xf numFmtId="0" fontId="4" fillId="0" borderId="42" xfId="0" applyNumberFormat="1" applyFont="1" applyFill="1" applyBorder="1" applyAlignment="1">
      <alignment horizontal="center" vertical="center" shrinkToFit="1"/>
    </xf>
    <xf numFmtId="0" fontId="12" fillId="0" borderId="48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4" fillId="0" borderId="56" xfId="0" applyNumberFormat="1" applyFont="1" applyFill="1" applyBorder="1" applyAlignment="1">
      <alignment vertical="center" shrinkToFit="1"/>
    </xf>
    <xf numFmtId="10" fontId="12" fillId="0" borderId="6" xfId="0" applyNumberFormat="1" applyFont="1" applyFill="1" applyBorder="1" applyAlignment="1">
      <alignment horizontal="center" vertical="center" shrinkToFit="1"/>
    </xf>
    <xf numFmtId="0" fontId="7" fillId="0" borderId="14" xfId="0" applyNumberFormat="1" applyFont="1" applyBorder="1" applyAlignment="1">
      <alignment vertical="center" shrinkToFit="1"/>
    </xf>
    <xf numFmtId="0" fontId="7" fillId="0" borderId="15" xfId="0" applyNumberFormat="1" applyFont="1" applyBorder="1" applyAlignment="1">
      <alignment vertical="center" shrinkToFit="1"/>
    </xf>
    <xf numFmtId="0" fontId="12" fillId="0" borderId="1" xfId="0" applyNumberFormat="1" applyFont="1" applyFill="1" applyBorder="1" applyAlignment="1">
      <alignment vertical="center" shrinkToFit="1"/>
    </xf>
    <xf numFmtId="0" fontId="12" fillId="0" borderId="2" xfId="0" applyNumberFormat="1" applyFont="1" applyFill="1" applyBorder="1" applyAlignment="1">
      <alignment vertical="center" shrinkToFit="1"/>
    </xf>
    <xf numFmtId="0" fontId="12" fillId="0" borderId="3" xfId="0" applyNumberFormat="1" applyFont="1" applyFill="1" applyBorder="1" applyAlignment="1">
      <alignment vertical="center" shrinkToFit="1"/>
    </xf>
    <xf numFmtId="0" fontId="4" fillId="0" borderId="23" xfId="0" applyFont="1" applyFill="1" applyBorder="1" applyAlignment="1">
      <alignment vertical="center" shrinkToFit="1"/>
    </xf>
    <xf numFmtId="49" fontId="7" fillId="0" borderId="0" xfId="0" applyNumberFormat="1" applyFont="1" applyAlignment="1">
      <alignment vertical="center" shrinkToFit="1"/>
    </xf>
    <xf numFmtId="0" fontId="19" fillId="0" borderId="0" xfId="0" applyNumberFormat="1" applyFont="1" applyFill="1" applyBorder="1" applyAlignment="1">
      <alignment horizontal="left" vertical="top" wrapText="1" shrinkToFit="1"/>
    </xf>
    <xf numFmtId="0" fontId="8" fillId="0" borderId="0" xfId="0" applyNumberFormat="1" applyFont="1" applyFill="1" applyBorder="1" applyAlignment="1">
      <alignment horizontal="center" vertical="center" wrapText="1" shrinkToFit="1"/>
    </xf>
    <xf numFmtId="0" fontId="21" fillId="0" borderId="0" xfId="0" applyNumberFormat="1" applyFont="1" applyFill="1" applyBorder="1" applyAlignment="1">
      <alignment horizontal="center" vertical="center" shrinkToFit="1"/>
    </xf>
    <xf numFmtId="0" fontId="21" fillId="0" borderId="0" xfId="0" applyNumberFormat="1" applyFont="1" applyFill="1" applyBorder="1" applyAlignment="1">
      <alignment vertical="center" shrinkToFit="1"/>
    </xf>
    <xf numFmtId="49" fontId="7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9" fillId="0" borderId="14" xfId="0" applyNumberFormat="1" applyFont="1" applyFill="1" applyBorder="1" applyAlignment="1">
      <alignment vertical="center" shrinkToFit="1"/>
    </xf>
    <xf numFmtId="0" fontId="9" fillId="0" borderId="31" xfId="0" applyNumberFormat="1" applyFont="1" applyFill="1" applyBorder="1" applyAlignment="1">
      <alignment vertical="center" shrinkToFit="1"/>
    </xf>
    <xf numFmtId="49" fontId="7" fillId="7" borderId="0" xfId="0" applyNumberFormat="1" applyFont="1" applyFill="1" applyAlignment="1">
      <alignment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12" fillId="0" borderId="14" xfId="0" applyNumberFormat="1" applyFont="1" applyFill="1" applyBorder="1" applyAlignment="1">
      <alignment vertical="center" shrinkToFit="1"/>
    </xf>
    <xf numFmtId="0" fontId="4" fillId="0" borderId="6" xfId="0" applyNumberFormat="1" applyFont="1" applyFill="1" applyBorder="1" applyAlignment="1">
      <alignment vertical="center"/>
    </xf>
    <xf numFmtId="0" fontId="4" fillId="0" borderId="14" xfId="0" applyNumberFormat="1" applyFont="1" applyFill="1" applyBorder="1" applyAlignment="1">
      <alignment vertical="center" shrinkToFit="1"/>
    </xf>
    <xf numFmtId="0" fontId="12" fillId="0" borderId="0" xfId="0" applyNumberFormat="1" applyFont="1" applyFill="1" applyBorder="1" applyAlignment="1">
      <alignment vertical="center" shrinkToFit="1"/>
    </xf>
    <xf numFmtId="0" fontId="8" fillId="0" borderId="16" xfId="0" applyFont="1" applyFill="1" applyBorder="1" applyAlignment="1">
      <alignment horizontal="center" vertical="center" wrapText="1"/>
    </xf>
    <xf numFmtId="49" fontId="4" fillId="0" borderId="96" xfId="0" applyNumberFormat="1" applyFont="1" applyFill="1" applyBorder="1" applyAlignment="1">
      <alignment vertical="center" shrinkToFit="1"/>
    </xf>
    <xf numFmtId="49" fontId="4" fillId="0" borderId="80" xfId="0" applyNumberFormat="1" applyFont="1" applyFill="1" applyBorder="1" applyAlignment="1">
      <alignment vertical="center" shrinkToFit="1"/>
    </xf>
    <xf numFmtId="0" fontId="4" fillId="0" borderId="33" xfId="0" applyFont="1" applyFill="1" applyBorder="1" applyAlignment="1">
      <alignment vertical="center" shrinkToFit="1"/>
    </xf>
    <xf numFmtId="0" fontId="4" fillId="0" borderId="87" xfId="0" applyFont="1" applyFill="1" applyBorder="1" applyAlignment="1">
      <alignment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49" fontId="4" fillId="0" borderId="102" xfId="0" applyNumberFormat="1" applyFont="1" applyFill="1" applyBorder="1" applyAlignment="1">
      <alignment horizontal="center" vertical="center" wrapText="1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8" fillId="0" borderId="0" xfId="0" applyNumberFormat="1" applyFont="1" applyFill="1" applyBorder="1" applyAlignment="1">
      <alignment horizontal="center" vertical="center" wrapText="1" shrinkToFit="1"/>
    </xf>
    <xf numFmtId="49" fontId="10" fillId="0" borderId="62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wrapText="1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8" fillId="0" borderId="0" xfId="0" applyNumberFormat="1" applyFont="1" applyFill="1" applyBorder="1" applyAlignment="1">
      <alignment horizontal="center" vertical="center" wrapText="1" shrinkToFit="1"/>
    </xf>
    <xf numFmtId="0" fontId="8" fillId="0" borderId="0" xfId="0" applyNumberFormat="1" applyFont="1" applyFill="1" applyBorder="1" applyAlignment="1">
      <alignment horizontal="center" vertical="center" shrinkToFit="1"/>
    </xf>
    <xf numFmtId="0" fontId="31" fillId="0" borderId="40" xfId="0" applyNumberFormat="1" applyFont="1" applyFill="1" applyBorder="1" applyAlignment="1">
      <alignment vertical="top" wrapText="1" shrinkToFit="1"/>
    </xf>
    <xf numFmtId="0" fontId="31" fillId="0" borderId="0" xfId="0" applyNumberFormat="1" applyFont="1" applyFill="1" applyBorder="1" applyAlignment="1">
      <alignment vertical="top" wrapText="1" shrinkToFit="1"/>
    </xf>
    <xf numFmtId="0" fontId="31" fillId="0" borderId="6" xfId="0" applyNumberFormat="1" applyFont="1" applyFill="1" applyBorder="1" applyAlignment="1">
      <alignment vertical="top" wrapText="1" shrinkToFit="1"/>
    </xf>
    <xf numFmtId="0" fontId="7" fillId="0" borderId="0" xfId="0" applyNumberFormat="1" applyFont="1" applyFill="1" applyBorder="1" applyAlignment="1">
      <alignment horizontal="center" vertical="center" shrinkToFit="1"/>
    </xf>
    <xf numFmtId="0" fontId="13" fillId="0" borderId="0" xfId="0" applyNumberFormat="1" applyFont="1" applyFill="1" applyBorder="1" applyAlignment="1">
      <alignment horizontal="center" vertical="center" shrinkToFit="1"/>
    </xf>
    <xf numFmtId="0" fontId="13" fillId="0" borderId="7" xfId="0" applyNumberFormat="1" applyFont="1" applyBorder="1" applyAlignment="1">
      <alignment vertical="center" shrinkToFit="1"/>
    </xf>
    <xf numFmtId="0" fontId="13" fillId="0" borderId="0" xfId="0" applyNumberFormat="1" applyFont="1" applyBorder="1" applyAlignment="1">
      <alignment vertical="center" shrinkToFit="1"/>
    </xf>
    <xf numFmtId="178" fontId="4" fillId="0" borderId="0" xfId="0" applyNumberFormat="1" applyFont="1" applyFill="1" applyBorder="1" applyAlignment="1">
      <alignment horizontal="center" vertical="center" shrinkToFit="1"/>
    </xf>
    <xf numFmtId="0" fontId="33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center" vertical="center" wrapText="1" shrinkToFit="1"/>
    </xf>
    <xf numFmtId="49" fontId="12" fillId="0" borderId="17" xfId="0" applyNumberFormat="1" applyFont="1" applyFill="1" applyBorder="1" applyAlignment="1">
      <alignment vertical="center" shrinkToFit="1"/>
    </xf>
    <xf numFmtId="49" fontId="12" fillId="0" borderId="38" xfId="0" applyNumberFormat="1" applyFont="1" applyFill="1" applyBorder="1" applyAlignment="1">
      <alignment horizontal="center" vertical="center" shrinkToFit="1"/>
    </xf>
    <xf numFmtId="179" fontId="12" fillId="0" borderId="17" xfId="0" applyNumberFormat="1" applyFont="1" applyFill="1" applyBorder="1" applyAlignment="1">
      <alignment vertical="center" shrinkToFit="1"/>
    </xf>
    <xf numFmtId="179" fontId="12" fillId="0" borderId="38" xfId="0" applyNumberFormat="1" applyFont="1" applyFill="1" applyBorder="1" applyAlignment="1">
      <alignment horizontal="center" vertical="center" shrinkToFit="1"/>
    </xf>
    <xf numFmtId="0" fontId="12" fillId="0" borderId="5" xfId="0" applyNumberFormat="1" applyFont="1" applyFill="1" applyBorder="1" applyAlignment="1">
      <alignment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12" fillId="0" borderId="7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177" fontId="28" fillId="0" borderId="0" xfId="0" applyNumberFormat="1" applyFont="1" applyFill="1" applyBorder="1" applyAlignment="1">
      <alignment horizontal="center" vertical="center" shrinkToFit="1"/>
    </xf>
    <xf numFmtId="177" fontId="28" fillId="0" borderId="7" xfId="0" applyNumberFormat="1" applyFont="1" applyFill="1" applyBorder="1" applyAlignment="1">
      <alignment horizontal="center" vertical="center" shrinkToFit="1"/>
    </xf>
    <xf numFmtId="0" fontId="32" fillId="0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179" fontId="12" fillId="0" borderId="38" xfId="0" applyNumberFormat="1" applyFont="1" applyFill="1" applyBorder="1" applyAlignment="1">
      <alignment horizontal="center" vertical="center" shrinkToFit="1"/>
    </xf>
    <xf numFmtId="0" fontId="12" fillId="0" borderId="48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49" fontId="12" fillId="0" borderId="6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49" fontId="9" fillId="0" borderId="0" xfId="0" applyNumberFormat="1" applyFont="1" applyFill="1" applyBorder="1" applyAlignment="1">
      <alignment vertical="center"/>
    </xf>
    <xf numFmtId="49" fontId="12" fillId="0" borderId="58" xfId="0" applyNumberFormat="1" applyFont="1" applyFill="1" applyBorder="1" applyAlignment="1">
      <alignment vertical="center"/>
    </xf>
    <xf numFmtId="49" fontId="12" fillId="0" borderId="31" xfId="0" applyNumberFormat="1" applyFont="1" applyFill="1" applyBorder="1" applyAlignment="1">
      <alignment vertical="center"/>
    </xf>
    <xf numFmtId="49" fontId="9" fillId="0" borderId="31" xfId="0" applyNumberFormat="1" applyFont="1" applyFill="1" applyBorder="1" applyAlignment="1">
      <alignment vertical="center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37" xfId="2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7" fillId="0" borderId="37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4" fillId="0" borderId="54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12" fillId="0" borderId="31" xfId="0" applyNumberFormat="1" applyFont="1" applyFill="1" applyBorder="1" applyAlignment="1">
      <alignment vertical="center" shrinkToFit="1"/>
    </xf>
    <xf numFmtId="0" fontId="4" fillId="0" borderId="1" xfId="0" applyNumberFormat="1" applyFont="1" applyFill="1" applyBorder="1" applyAlignment="1">
      <alignment vertical="center" shrinkToFit="1"/>
    </xf>
    <xf numFmtId="0" fontId="4" fillId="0" borderId="3" xfId="0" applyNumberFormat="1" applyFont="1" applyFill="1" applyBorder="1" applyAlignment="1">
      <alignment vertical="center" shrinkToFit="1"/>
    </xf>
    <xf numFmtId="0" fontId="7" fillId="0" borderId="37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4" fillId="0" borderId="7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7" fillId="0" borderId="6" xfId="0" applyNumberFormat="1" applyFont="1" applyBorder="1" applyAlignment="1">
      <alignment vertical="center" shrinkToFit="1"/>
    </xf>
    <xf numFmtId="0" fontId="12" fillId="0" borderId="55" xfId="0" applyNumberFormat="1" applyFont="1" applyBorder="1" applyAlignment="1">
      <alignment vertical="center" shrinkToFit="1"/>
    </xf>
    <xf numFmtId="0" fontId="7" fillId="0" borderId="37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7" fillId="0" borderId="146" xfId="2" applyFont="1" applyBorder="1" applyAlignment="1">
      <alignment horizontal="center" vertical="center" shrinkToFit="1"/>
    </xf>
    <xf numFmtId="0" fontId="7" fillId="0" borderId="98" xfId="2" applyFont="1" applyBorder="1" applyAlignment="1">
      <alignment horizontal="center" vertical="center" shrinkToFit="1"/>
    </xf>
    <xf numFmtId="0" fontId="7" fillId="0" borderId="62" xfId="2" applyFon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7" fillId="0" borderId="25" xfId="2" applyFont="1" applyBorder="1" applyAlignment="1">
      <alignment horizontal="center" vertical="center"/>
    </xf>
    <xf numFmtId="0" fontId="7" fillId="0" borderId="27" xfId="2" applyFont="1" applyBorder="1" applyAlignment="1">
      <alignment horizontal="center" vertical="center"/>
    </xf>
    <xf numFmtId="0" fontId="7" fillId="0" borderId="126" xfId="2" applyFont="1" applyBorder="1" applyAlignment="1">
      <alignment horizontal="center" vertical="center" shrinkToFit="1"/>
    </xf>
    <xf numFmtId="0" fontId="7" fillId="0" borderId="127" xfId="2" applyFont="1" applyBorder="1" applyAlignment="1">
      <alignment horizontal="center" vertical="center" shrinkToFit="1"/>
    </xf>
    <xf numFmtId="0" fontId="7" fillId="0" borderId="132" xfId="2" applyFont="1" applyBorder="1" applyAlignment="1">
      <alignment horizontal="center" vertical="center" shrinkToFit="1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0" fillId="0" borderId="0" xfId="1" applyFont="1" applyBorder="1" applyAlignment="1">
      <alignment horizontal="center" vertical="center"/>
    </xf>
    <xf numFmtId="0" fontId="27" fillId="0" borderId="72" xfId="0" applyNumberFormat="1" applyFont="1" applyFill="1" applyBorder="1" applyAlignment="1">
      <alignment horizontal="center" vertical="center" shrinkToFit="1"/>
    </xf>
    <xf numFmtId="0" fontId="27" fillId="0" borderId="73" xfId="0" applyNumberFormat="1" applyFont="1" applyFill="1" applyBorder="1" applyAlignment="1">
      <alignment horizontal="center" vertical="center" shrinkToFit="1"/>
    </xf>
    <xf numFmtId="0" fontId="17" fillId="0" borderId="73" xfId="0" applyNumberFormat="1" applyFont="1" applyFill="1" applyBorder="1" applyAlignment="1">
      <alignment horizontal="center" vertical="center" wrapText="1" shrinkToFit="1"/>
    </xf>
    <xf numFmtId="0" fontId="26" fillId="0" borderId="144" xfId="0" applyNumberFormat="1" applyFont="1" applyFill="1" applyBorder="1" applyAlignment="1">
      <alignment horizontal="center" wrapText="1" shrinkToFit="1"/>
    </xf>
    <xf numFmtId="0" fontId="20" fillId="0" borderId="0" xfId="1" applyFont="1" applyBorder="1" applyAlignment="1">
      <alignment horizontal="right" vertical="center"/>
    </xf>
    <xf numFmtId="0" fontId="27" fillId="0" borderId="76" xfId="0" applyNumberFormat="1" applyFont="1" applyFill="1" applyBorder="1" applyAlignment="1">
      <alignment horizontal="center" vertical="center" shrinkToFit="1"/>
    </xf>
    <xf numFmtId="0" fontId="27" fillId="0" borderId="77" xfId="0" applyNumberFormat="1" applyFont="1" applyFill="1" applyBorder="1" applyAlignment="1">
      <alignment horizontal="center" vertical="center" shrinkToFit="1"/>
    </xf>
    <xf numFmtId="0" fontId="17" fillId="0" borderId="77" xfId="0" applyNumberFormat="1" applyFont="1" applyFill="1" applyBorder="1" applyAlignment="1">
      <alignment horizontal="center" vertical="center" wrapText="1" shrinkToFit="1"/>
    </xf>
    <xf numFmtId="0" fontId="26" fillId="0" borderId="145" xfId="0" applyNumberFormat="1" applyFont="1" applyFill="1" applyBorder="1" applyAlignment="1">
      <alignment horizontal="center" vertical="top" wrapText="1" shrinkToFit="1"/>
    </xf>
    <xf numFmtId="0" fontId="27" fillId="0" borderId="75" xfId="0" applyNumberFormat="1" applyFont="1" applyFill="1" applyBorder="1" applyAlignment="1">
      <alignment horizontal="center" vertical="center" shrinkToFit="1"/>
    </xf>
    <xf numFmtId="0" fontId="27" fillId="0" borderId="74" xfId="0" applyNumberFormat="1" applyFont="1" applyFill="1" applyBorder="1" applyAlignment="1">
      <alignment horizontal="center" vertical="center" shrinkToFit="1"/>
    </xf>
    <xf numFmtId="0" fontId="17" fillId="0" borderId="74" xfId="0" applyNumberFormat="1" applyFont="1" applyFill="1" applyBorder="1" applyAlignment="1">
      <alignment horizontal="center" vertical="center" wrapText="1" shrinkToFit="1"/>
    </xf>
    <xf numFmtId="0" fontId="7" fillId="0" borderId="84" xfId="2" applyFont="1" applyBorder="1" applyAlignment="1">
      <alignment horizontal="center" vertical="center" shrinkToFit="1"/>
    </xf>
    <xf numFmtId="0" fontId="7" fillId="0" borderId="16" xfId="0" applyNumberFormat="1" applyFont="1" applyBorder="1" applyAlignment="1">
      <alignment horizontal="center" vertical="center" shrinkToFit="1"/>
    </xf>
    <xf numFmtId="0" fontId="7" fillId="0" borderId="17" xfId="0" applyNumberFormat="1" applyFont="1" applyBorder="1" applyAlignment="1">
      <alignment horizontal="center" vertical="center" shrinkToFit="1"/>
    </xf>
    <xf numFmtId="0" fontId="7" fillId="0" borderId="38" xfId="0" applyNumberFormat="1" applyFont="1" applyBorder="1" applyAlignment="1">
      <alignment horizontal="center" vertical="center" shrinkToFit="1"/>
    </xf>
    <xf numFmtId="0" fontId="4" fillId="0" borderId="55" xfId="0" applyNumberFormat="1" applyFont="1" applyFill="1" applyBorder="1" applyAlignment="1">
      <alignment horizontal="center" vertical="center" shrinkToFit="1"/>
    </xf>
    <xf numFmtId="0" fontId="12" fillId="6" borderId="29" xfId="0" applyFont="1" applyFill="1" applyBorder="1" applyAlignment="1">
      <alignment horizontal="center" vertical="center" wrapText="1" shrinkToFit="1"/>
    </xf>
    <xf numFmtId="0" fontId="12" fillId="6" borderId="22" xfId="0" applyFont="1" applyFill="1" applyBorder="1" applyAlignment="1">
      <alignment horizontal="center" vertical="center" wrapText="1" shrinkToFit="1"/>
    </xf>
    <xf numFmtId="0" fontId="12" fillId="6" borderId="6" xfId="0" applyFont="1" applyFill="1" applyBorder="1" applyAlignment="1">
      <alignment horizontal="center" vertical="center" wrapText="1" shrinkToFit="1"/>
    </xf>
    <xf numFmtId="0" fontId="12" fillId="6" borderId="30" xfId="0" applyFont="1" applyFill="1" applyBorder="1" applyAlignment="1">
      <alignment horizontal="center" vertical="center" wrapText="1" shrinkToFit="1"/>
    </xf>
    <xf numFmtId="0" fontId="12" fillId="6" borderId="58" xfId="0" applyFont="1" applyFill="1" applyBorder="1" applyAlignment="1">
      <alignment horizontal="center" vertical="center" wrapText="1" shrinkToFit="1"/>
    </xf>
    <xf numFmtId="0" fontId="12" fillId="6" borderId="32" xfId="0" applyFont="1" applyFill="1" applyBorder="1" applyAlignment="1">
      <alignment horizontal="center" vertical="center" wrapText="1" shrinkToFit="1"/>
    </xf>
    <xf numFmtId="0" fontId="12" fillId="0" borderId="14" xfId="0" applyNumberFormat="1" applyFont="1" applyFill="1" applyBorder="1" applyAlignment="1">
      <alignment horizontal="center" vertical="center" shrinkToFit="1"/>
    </xf>
    <xf numFmtId="0" fontId="4" fillId="0" borderId="37" xfId="0" applyNumberFormat="1" applyFont="1" applyFill="1" applyBorder="1" applyAlignment="1">
      <alignment horizontal="center" vertical="center" shrinkToFit="1"/>
    </xf>
    <xf numFmtId="0" fontId="4" fillId="0" borderId="17" xfId="0" applyNumberFormat="1" applyFont="1" applyFill="1" applyBorder="1" applyAlignment="1">
      <alignment horizontal="center" vertical="center" shrinkToFit="1"/>
    </xf>
    <xf numFmtId="0" fontId="4" fillId="0" borderId="38" xfId="0" applyNumberFormat="1" applyFont="1" applyFill="1" applyBorder="1" applyAlignment="1">
      <alignment horizontal="center" vertical="center" shrinkToFit="1"/>
    </xf>
    <xf numFmtId="49" fontId="4" fillId="0" borderId="0" xfId="0" applyNumberFormat="1" applyFont="1" applyFill="1" applyBorder="1" applyAlignment="1">
      <alignment horizontal="center" vertical="center" shrinkToFit="1"/>
    </xf>
    <xf numFmtId="49" fontId="4" fillId="0" borderId="31" xfId="0" applyNumberFormat="1" applyFont="1" applyFill="1" applyBorder="1" applyAlignment="1">
      <alignment horizontal="center" vertical="center" shrinkToFit="1"/>
    </xf>
    <xf numFmtId="49" fontId="4" fillId="0" borderId="61" xfId="0" applyNumberFormat="1" applyFont="1" applyFill="1" applyBorder="1" applyAlignment="1">
      <alignment horizontal="center" vertical="center" shrinkToFit="1"/>
    </xf>
    <xf numFmtId="49" fontId="4" fillId="0" borderId="30" xfId="0" applyNumberFormat="1" applyFont="1" applyFill="1" applyBorder="1" applyAlignment="1">
      <alignment horizontal="center" vertical="center" shrinkToFit="1"/>
    </xf>
    <xf numFmtId="49" fontId="4" fillId="0" borderId="85" xfId="0" applyNumberFormat="1" applyFont="1" applyFill="1" applyBorder="1" applyAlignment="1">
      <alignment horizontal="center" vertical="center" shrinkToFit="1"/>
    </xf>
    <xf numFmtId="49" fontId="4" fillId="0" borderId="32" xfId="0" applyNumberFormat="1" applyFont="1" applyFill="1" applyBorder="1" applyAlignment="1">
      <alignment horizontal="center" vertical="center" shrinkToFit="1"/>
    </xf>
    <xf numFmtId="49" fontId="4" fillId="0" borderId="106" xfId="0" applyNumberFormat="1" applyFont="1" applyFill="1" applyBorder="1" applyAlignment="1">
      <alignment horizontal="center" vertical="center" wrapText="1" shrinkToFit="1"/>
    </xf>
    <xf numFmtId="49" fontId="4" fillId="0" borderId="14" xfId="0" applyNumberFormat="1" applyFont="1" applyFill="1" applyBorder="1" applyAlignment="1">
      <alignment horizontal="center" vertical="center" shrinkToFit="1"/>
    </xf>
    <xf numFmtId="49" fontId="4" fillId="0" borderId="108" xfId="0" applyNumberFormat="1" applyFont="1" applyFill="1" applyBorder="1" applyAlignment="1">
      <alignment horizontal="center" vertical="center" shrinkToFit="1"/>
    </xf>
    <xf numFmtId="49" fontId="4" fillId="0" borderId="70" xfId="0" applyNumberFormat="1" applyFont="1" applyFill="1" applyBorder="1" applyAlignment="1">
      <alignment horizontal="center" vertical="center" shrinkToFit="1"/>
    </xf>
    <xf numFmtId="49" fontId="10" fillId="0" borderId="96" xfId="0" applyNumberFormat="1" applyFont="1" applyFill="1" applyBorder="1" applyAlignment="1">
      <alignment horizontal="center" vertical="center" shrinkToFit="1"/>
    </xf>
    <xf numFmtId="49" fontId="10" fillId="0" borderId="141" xfId="0" applyNumberFormat="1" applyFont="1" applyFill="1" applyBorder="1" applyAlignment="1">
      <alignment horizontal="center" vertical="center" shrinkToFit="1"/>
    </xf>
    <xf numFmtId="49" fontId="4" fillId="0" borderId="13" xfId="0" applyNumberFormat="1" applyFont="1" applyFill="1" applyBorder="1" applyAlignment="1">
      <alignment horizontal="center" vertical="center" shrinkToFit="1"/>
    </xf>
    <xf numFmtId="49" fontId="4" fillId="0" borderId="63" xfId="0" applyNumberFormat="1" applyFont="1" applyFill="1" applyBorder="1" applyAlignment="1">
      <alignment horizontal="center" vertical="center" shrinkToFit="1"/>
    </xf>
    <xf numFmtId="49" fontId="4" fillId="0" borderId="69" xfId="0" applyNumberFormat="1" applyFont="1" applyFill="1" applyBorder="1" applyAlignment="1">
      <alignment horizontal="center" vertical="center" shrinkToFit="1"/>
    </xf>
    <xf numFmtId="49" fontId="4" fillId="0" borderId="142" xfId="0" applyNumberFormat="1" applyFont="1" applyFill="1" applyBorder="1" applyAlignment="1">
      <alignment horizontal="center" vertical="center" shrinkToFit="1"/>
    </xf>
    <xf numFmtId="49" fontId="4" fillId="0" borderId="140" xfId="0" applyNumberFormat="1" applyFont="1" applyFill="1" applyBorder="1" applyAlignment="1">
      <alignment horizontal="center" vertical="center" wrapText="1" shrinkToFit="1"/>
    </xf>
    <xf numFmtId="49" fontId="4" fillId="0" borderId="68" xfId="0" applyNumberFormat="1" applyFont="1" applyFill="1" applyBorder="1" applyAlignment="1">
      <alignment horizontal="center" vertical="center" wrapText="1" shrinkToFit="1"/>
    </xf>
    <xf numFmtId="49" fontId="24" fillId="4" borderId="94" xfId="0" applyNumberFormat="1" applyFont="1" applyFill="1" applyBorder="1" applyAlignment="1">
      <alignment horizontal="center" vertical="center" textRotation="255" shrinkToFit="1"/>
    </xf>
    <xf numFmtId="49" fontId="24" fillId="4" borderId="60" xfId="0" applyNumberFormat="1" applyFont="1" applyFill="1" applyBorder="1" applyAlignment="1">
      <alignment horizontal="center" vertical="center" textRotation="255" shrinkToFit="1"/>
    </xf>
    <xf numFmtId="49" fontId="24" fillId="4" borderId="84" xfId="0" applyNumberFormat="1" applyFont="1" applyFill="1" applyBorder="1" applyAlignment="1">
      <alignment horizontal="center" vertical="center" textRotation="255" shrinkToFit="1"/>
    </xf>
    <xf numFmtId="49" fontId="12" fillId="6" borderId="90" xfId="0" applyNumberFormat="1" applyFont="1" applyFill="1" applyBorder="1" applyAlignment="1">
      <alignment horizontal="center" vertical="center" shrinkToFit="1"/>
    </xf>
    <xf numFmtId="49" fontId="12" fillId="6" borderId="91" xfId="0" applyNumberFormat="1" applyFont="1" applyFill="1" applyBorder="1" applyAlignment="1">
      <alignment horizontal="center" vertical="center" shrinkToFit="1"/>
    </xf>
    <xf numFmtId="49" fontId="4" fillId="0" borderId="105" xfId="0" applyNumberFormat="1" applyFont="1" applyFill="1" applyBorder="1" applyAlignment="1">
      <alignment horizontal="center" vertical="center" shrinkToFit="1"/>
    </xf>
    <xf numFmtId="49" fontId="4" fillId="0" borderId="18" xfId="0" applyNumberFormat="1" applyFont="1" applyFill="1" applyBorder="1" applyAlignment="1">
      <alignment horizontal="center" vertical="center" shrinkToFit="1"/>
    </xf>
    <xf numFmtId="0" fontId="4" fillId="0" borderId="16" xfId="0" applyFont="1" applyFill="1" applyBorder="1" applyAlignment="1">
      <alignment horizontal="center" vertical="center" wrapText="1"/>
    </xf>
    <xf numFmtId="0" fontId="4" fillId="0" borderId="17" xfId="0" applyFont="1" applyFill="1" applyBorder="1" applyAlignment="1">
      <alignment horizontal="center" vertical="center" wrapText="1"/>
    </xf>
    <xf numFmtId="0" fontId="17" fillId="0" borderId="13" xfId="0" applyNumberFormat="1" applyFont="1" applyFill="1" applyBorder="1" applyAlignment="1">
      <alignment horizontal="center" vertical="center" wrapText="1" shrinkToFit="1"/>
    </xf>
    <xf numFmtId="0" fontId="17" fillId="0" borderId="14" xfId="0" applyNumberFormat="1" applyFont="1" applyFill="1" applyBorder="1" applyAlignment="1">
      <alignment horizontal="center" vertical="center" wrapText="1" shrinkToFit="1"/>
    </xf>
    <xf numFmtId="0" fontId="17" fillId="0" borderId="22" xfId="0" applyNumberFormat="1" applyFont="1" applyFill="1" applyBorder="1" applyAlignment="1">
      <alignment horizontal="center" vertical="center" wrapText="1" shrinkToFit="1"/>
    </xf>
    <xf numFmtId="0" fontId="17" fillId="0" borderId="41" xfId="0" applyNumberFormat="1" applyFont="1" applyFill="1" applyBorder="1" applyAlignment="1">
      <alignment horizontal="center" vertical="center" wrapText="1" shrinkToFit="1"/>
    </xf>
    <xf numFmtId="0" fontId="17" fillId="0" borderId="0" xfId="0" applyNumberFormat="1" applyFont="1" applyFill="1" applyBorder="1" applyAlignment="1">
      <alignment horizontal="center" vertical="center" wrapText="1" shrinkToFit="1"/>
    </xf>
    <xf numFmtId="0" fontId="17" fillId="0" borderId="30" xfId="0" applyNumberFormat="1" applyFont="1" applyFill="1" applyBorder="1" applyAlignment="1">
      <alignment horizontal="center" vertical="center" wrapText="1" shrinkToFit="1"/>
    </xf>
    <xf numFmtId="0" fontId="17" fillId="0" borderId="8" xfId="0" applyNumberFormat="1" applyFont="1" applyFill="1" applyBorder="1" applyAlignment="1">
      <alignment horizontal="center" vertical="center" wrapText="1" shrinkToFit="1"/>
    </xf>
    <xf numFmtId="0" fontId="17" fillId="0" borderId="40" xfId="0" applyNumberFormat="1" applyFont="1" applyFill="1" applyBorder="1" applyAlignment="1">
      <alignment horizontal="center" vertical="center" wrapText="1" shrinkToFit="1"/>
    </xf>
    <xf numFmtId="0" fontId="17" fillId="0" borderId="9" xfId="0" applyNumberFormat="1" applyFont="1" applyFill="1" applyBorder="1" applyAlignment="1">
      <alignment horizontal="center" vertical="center" wrapText="1" shrinkToFit="1"/>
    </xf>
    <xf numFmtId="0" fontId="4" fillId="0" borderId="93" xfId="0" applyFont="1" applyFill="1" applyBorder="1" applyAlignment="1">
      <alignment horizontal="center" vertical="center" wrapText="1"/>
    </xf>
    <xf numFmtId="0" fontId="4" fillId="0" borderId="49" xfId="0" applyNumberFormat="1" applyFont="1" applyFill="1" applyBorder="1" applyAlignment="1">
      <alignment horizontal="center" vertical="center" shrinkToFit="1"/>
    </xf>
    <xf numFmtId="0" fontId="4" fillId="0" borderId="5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0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10" xfId="0" applyNumberFormat="1" applyFont="1" applyFill="1" applyBorder="1" applyAlignment="1">
      <alignment horizontal="center" vertical="center" shrinkToFit="1"/>
    </xf>
    <xf numFmtId="0" fontId="12" fillId="0" borderId="13" xfId="0" applyNumberFormat="1" applyFont="1" applyFill="1" applyBorder="1" applyAlignment="1">
      <alignment horizontal="center" vertical="center" shrinkToFit="1"/>
    </xf>
    <xf numFmtId="0" fontId="12" fillId="0" borderId="15" xfId="0" applyNumberFormat="1" applyFont="1" applyFill="1" applyBorder="1" applyAlignment="1">
      <alignment horizontal="center" vertical="center" shrinkToFit="1"/>
    </xf>
    <xf numFmtId="0" fontId="12" fillId="0" borderId="35" xfId="0" applyNumberFormat="1" applyFont="1" applyFill="1" applyBorder="1" applyAlignment="1">
      <alignment horizontal="center" vertical="center" shrinkToFit="1"/>
    </xf>
    <xf numFmtId="0" fontId="12" fillId="0" borderId="31" xfId="0" applyNumberFormat="1" applyFont="1" applyFill="1" applyBorder="1" applyAlignment="1">
      <alignment horizontal="center" vertical="center" shrinkToFit="1"/>
    </xf>
    <xf numFmtId="0" fontId="12" fillId="0" borderId="36" xfId="0" applyNumberFormat="1" applyFont="1" applyFill="1" applyBorder="1" applyAlignment="1">
      <alignment horizontal="center" vertical="center" shrinkToFit="1"/>
    </xf>
    <xf numFmtId="0" fontId="17" fillId="0" borderId="13" xfId="0" applyNumberFormat="1" applyFont="1" applyFill="1" applyBorder="1" applyAlignment="1">
      <alignment horizontal="center" vertical="top" wrapText="1" shrinkToFit="1"/>
    </xf>
    <xf numFmtId="0" fontId="17" fillId="0" borderId="14" xfId="0" applyNumberFormat="1" applyFont="1" applyFill="1" applyBorder="1" applyAlignment="1">
      <alignment horizontal="center" vertical="top" wrapText="1" shrinkToFit="1"/>
    </xf>
    <xf numFmtId="0" fontId="17" fillId="0" borderId="15" xfId="0" applyNumberFormat="1" applyFont="1" applyFill="1" applyBorder="1" applyAlignment="1">
      <alignment horizontal="center" vertical="top" wrapText="1" shrinkToFit="1"/>
    </xf>
    <xf numFmtId="0" fontId="17" fillId="0" borderId="41" xfId="0" applyNumberFormat="1" applyFont="1" applyFill="1" applyBorder="1" applyAlignment="1">
      <alignment horizontal="center" vertical="top" wrapText="1" shrinkToFit="1"/>
    </xf>
    <xf numFmtId="0" fontId="17" fillId="0" borderId="0" xfId="0" applyNumberFormat="1" applyFont="1" applyFill="1" applyBorder="1" applyAlignment="1">
      <alignment horizontal="center" vertical="top" wrapText="1" shrinkToFit="1"/>
    </xf>
    <xf numFmtId="0" fontId="17" fillId="0" borderId="7" xfId="0" applyNumberFormat="1" applyFont="1" applyFill="1" applyBorder="1" applyAlignment="1">
      <alignment horizontal="center" vertical="top" wrapText="1" shrinkToFit="1"/>
    </xf>
    <xf numFmtId="0" fontId="17" fillId="0" borderId="8" xfId="0" applyNumberFormat="1" applyFont="1" applyFill="1" applyBorder="1" applyAlignment="1">
      <alignment horizontal="center" vertical="top" wrapText="1" shrinkToFit="1"/>
    </xf>
    <xf numFmtId="0" fontId="17" fillId="0" borderId="40" xfId="0" applyNumberFormat="1" applyFont="1" applyFill="1" applyBorder="1" applyAlignment="1">
      <alignment horizontal="center" vertical="top" wrapText="1" shrinkToFit="1"/>
    </xf>
    <xf numFmtId="0" fontId="17" fillId="0" borderId="10" xfId="0" applyNumberFormat="1" applyFont="1" applyFill="1" applyBorder="1" applyAlignment="1">
      <alignment horizontal="center" vertical="top" wrapText="1" shrinkToFit="1"/>
    </xf>
    <xf numFmtId="0" fontId="26" fillId="0" borderId="41" xfId="0" applyNumberFormat="1" applyFont="1" applyFill="1" applyBorder="1" applyAlignment="1">
      <alignment horizontal="center" vertical="center" wrapText="1" shrinkToFit="1"/>
    </xf>
    <xf numFmtId="0" fontId="26" fillId="0" borderId="30" xfId="0" applyNumberFormat="1" applyFont="1" applyFill="1" applyBorder="1" applyAlignment="1">
      <alignment horizontal="center" vertical="center" wrapText="1" shrinkToFit="1"/>
    </xf>
    <xf numFmtId="0" fontId="7" fillId="0" borderId="1" xfId="2" applyFont="1" applyBorder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7" fillId="0" borderId="7" xfId="2" applyFont="1" applyBorder="1" applyAlignment="1">
      <alignment horizontal="center" vertical="center"/>
    </xf>
    <xf numFmtId="0" fontId="46" fillId="6" borderId="135" xfId="2" applyFont="1" applyFill="1" applyBorder="1" applyAlignment="1">
      <alignment horizontal="center" vertical="center"/>
    </xf>
    <xf numFmtId="0" fontId="46" fillId="6" borderId="136" xfId="2" applyFont="1" applyFill="1" applyBorder="1" applyAlignment="1">
      <alignment horizontal="center" vertical="center"/>
    </xf>
    <xf numFmtId="0" fontId="46" fillId="6" borderId="147" xfId="2" applyFont="1" applyFill="1" applyBorder="1" applyAlignment="1">
      <alignment horizontal="center" vertical="center" shrinkToFit="1"/>
    </xf>
    <xf numFmtId="0" fontId="46" fillId="6" borderId="148" xfId="2" applyFont="1" applyFill="1" applyBorder="1" applyAlignment="1">
      <alignment horizontal="center" vertical="center" shrinkToFit="1"/>
    </xf>
    <xf numFmtId="0" fontId="46" fillId="6" borderId="149" xfId="2" applyFont="1" applyFill="1" applyBorder="1" applyAlignment="1">
      <alignment horizontal="center" vertical="center" shrinkToFit="1"/>
    </xf>
    <xf numFmtId="0" fontId="46" fillId="6" borderId="135" xfId="0" applyFont="1" applyFill="1" applyBorder="1" applyAlignment="1">
      <alignment horizontal="center" vertical="center"/>
    </xf>
    <xf numFmtId="0" fontId="46" fillId="6" borderId="136" xfId="0" applyFont="1" applyFill="1" applyBorder="1" applyAlignment="1">
      <alignment horizontal="center" vertical="center"/>
    </xf>
    <xf numFmtId="0" fontId="46" fillId="6" borderId="137" xfId="0" applyFont="1" applyFill="1" applyBorder="1" applyAlignment="1">
      <alignment horizontal="center" vertical="center"/>
    </xf>
    <xf numFmtId="0" fontId="4" fillId="0" borderId="54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7" fillId="0" borderId="18" xfId="0" applyNumberFormat="1" applyFont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12" fillId="0" borderId="7" xfId="0" applyNumberFormat="1" applyFont="1" applyFill="1" applyBorder="1" applyAlignment="1">
      <alignment horizontal="center" vertical="center" shrinkToFit="1"/>
    </xf>
    <xf numFmtId="0" fontId="4" fillId="0" borderId="2" xfId="0" applyNumberFormat="1" applyFont="1" applyFill="1" applyBorder="1" applyAlignment="1">
      <alignment horizontal="center" vertical="center" shrinkToFit="1"/>
    </xf>
    <xf numFmtId="10" fontId="9" fillId="2" borderId="37" xfId="0" applyNumberFormat="1" applyFont="1" applyFill="1" applyBorder="1" applyAlignment="1">
      <alignment horizontal="center" vertical="center" shrinkToFit="1"/>
    </xf>
    <xf numFmtId="10" fontId="9" fillId="2" borderId="17" xfId="0" applyNumberFormat="1" applyFont="1" applyFill="1" applyBorder="1" applyAlignment="1">
      <alignment horizontal="center" vertical="center" shrinkToFit="1"/>
    </xf>
    <xf numFmtId="10" fontId="9" fillId="2" borderId="38" xfId="0" applyNumberFormat="1" applyFont="1" applyFill="1" applyBorder="1" applyAlignment="1">
      <alignment horizontal="center" vertical="center" shrinkToFit="1"/>
    </xf>
    <xf numFmtId="0" fontId="13" fillId="0" borderId="12" xfId="0" applyNumberFormat="1" applyFont="1" applyBorder="1" applyAlignment="1">
      <alignment horizontal="center" vertical="center" shrinkToFit="1"/>
    </xf>
    <xf numFmtId="0" fontId="13" fillId="0" borderId="21" xfId="0" applyNumberFormat="1" applyFont="1" applyBorder="1" applyAlignment="1">
      <alignment horizontal="center" vertical="center" shrinkToFit="1"/>
    </xf>
    <xf numFmtId="0" fontId="12" fillId="0" borderId="116" xfId="0" applyNumberFormat="1" applyFont="1" applyFill="1" applyBorder="1" applyAlignment="1">
      <alignment horizontal="center" vertical="center" wrapText="1" shrinkToFit="1"/>
    </xf>
    <xf numFmtId="0" fontId="12" fillId="0" borderId="116" xfId="0" applyNumberFormat="1" applyFont="1" applyFill="1" applyBorder="1" applyAlignment="1">
      <alignment horizontal="center" vertical="center" shrinkToFit="1"/>
    </xf>
    <xf numFmtId="0" fontId="12" fillId="0" borderId="101" xfId="0" applyNumberFormat="1" applyFont="1" applyFill="1" applyBorder="1" applyAlignment="1">
      <alignment horizontal="center" vertical="center" shrinkToFit="1"/>
    </xf>
    <xf numFmtId="0" fontId="12" fillId="9" borderId="1" xfId="0" applyNumberFormat="1" applyFont="1" applyFill="1" applyBorder="1" applyAlignment="1">
      <alignment horizontal="center" vertical="center" shrinkToFit="1"/>
    </xf>
    <xf numFmtId="0" fontId="12" fillId="9" borderId="2" xfId="0" applyNumberFormat="1" applyFont="1" applyFill="1" applyBorder="1" applyAlignment="1">
      <alignment horizontal="center" vertical="center" shrinkToFit="1"/>
    </xf>
    <xf numFmtId="0" fontId="12" fillId="9" borderId="3" xfId="0" applyNumberFormat="1" applyFont="1" applyFill="1" applyBorder="1" applyAlignment="1">
      <alignment horizontal="center" vertical="center" shrinkToFit="1"/>
    </xf>
    <xf numFmtId="0" fontId="12" fillId="0" borderId="126" xfId="0" applyNumberFormat="1" applyFont="1" applyFill="1" applyBorder="1" applyAlignment="1">
      <alignment horizontal="center" vertical="center" wrapText="1" shrinkToFit="1"/>
    </xf>
    <xf numFmtId="0" fontId="12" fillId="0" borderId="127" xfId="0" applyNumberFormat="1" applyFont="1" applyFill="1" applyBorder="1" applyAlignment="1">
      <alignment horizontal="center" vertical="center" wrapText="1" shrinkToFit="1"/>
    </xf>
    <xf numFmtId="0" fontId="12" fillId="0" borderId="128" xfId="0" applyNumberFormat="1" applyFont="1" applyFill="1" applyBorder="1" applyAlignment="1">
      <alignment horizontal="center" vertical="center" wrapText="1" shrinkToFit="1"/>
    </xf>
    <xf numFmtId="0" fontId="12" fillId="0" borderId="4" xfId="0" applyNumberFormat="1" applyFont="1" applyFill="1" applyBorder="1" applyAlignment="1">
      <alignment horizontal="center" vertical="center" wrapText="1" shrinkToFit="1"/>
    </xf>
    <xf numFmtId="0" fontId="12" fillId="0" borderId="2" xfId="0" applyNumberFormat="1" applyFont="1" applyFill="1" applyBorder="1" applyAlignment="1">
      <alignment horizontal="center" vertical="center" wrapText="1" shrinkToFit="1"/>
    </xf>
    <xf numFmtId="0" fontId="12" fillId="0" borderId="3" xfId="0" applyNumberFormat="1" applyFont="1" applyFill="1" applyBorder="1" applyAlignment="1">
      <alignment horizontal="center" vertical="center" wrapText="1" shrinkToFit="1"/>
    </xf>
    <xf numFmtId="0" fontId="12" fillId="0" borderId="41" xfId="0" applyNumberFormat="1" applyFont="1" applyFill="1" applyBorder="1" applyAlignment="1">
      <alignment horizontal="center" vertical="center" wrapText="1" shrinkToFit="1"/>
    </xf>
    <xf numFmtId="0" fontId="12" fillId="0" borderId="0" xfId="0" applyNumberFormat="1" applyFont="1" applyFill="1" applyBorder="1" applyAlignment="1">
      <alignment horizontal="center" vertical="center" wrapText="1" shrinkToFit="1"/>
    </xf>
    <xf numFmtId="0" fontId="12" fillId="0" borderId="7" xfId="0" applyNumberFormat="1" applyFont="1" applyFill="1" applyBorder="1" applyAlignment="1">
      <alignment horizontal="center" vertical="center" wrapText="1" shrinkToFit="1"/>
    </xf>
    <xf numFmtId="0" fontId="4" fillId="0" borderId="5" xfId="0" applyNumberFormat="1" applyFont="1" applyFill="1" applyBorder="1" applyAlignment="1">
      <alignment horizontal="center" vertical="center" shrinkToFit="1"/>
    </xf>
    <xf numFmtId="49" fontId="4" fillId="0" borderId="60" xfId="0" applyNumberFormat="1" applyFont="1" applyFill="1" applyBorder="1" applyAlignment="1">
      <alignment horizontal="center" vertical="center" wrapText="1" shrinkToFit="1"/>
    </xf>
    <xf numFmtId="49" fontId="4" fillId="0" borderId="61" xfId="0" applyNumberFormat="1" applyFont="1" applyFill="1" applyBorder="1" applyAlignment="1">
      <alignment horizontal="center" vertical="center" wrapText="1" shrinkToFit="1"/>
    </xf>
    <xf numFmtId="49" fontId="4" fillId="0" borderId="84" xfId="0" applyNumberFormat="1" applyFont="1" applyFill="1" applyBorder="1" applyAlignment="1">
      <alignment horizontal="center" vertical="center" wrapText="1" shrinkToFit="1"/>
    </xf>
    <xf numFmtId="49" fontId="4" fillId="0" borderId="85" xfId="0" applyNumberFormat="1" applyFont="1" applyFill="1" applyBorder="1" applyAlignment="1">
      <alignment horizontal="center" vertical="center" wrapText="1" shrinkToFit="1"/>
    </xf>
    <xf numFmtId="0" fontId="10" fillId="0" borderId="79" xfId="0" applyFont="1" applyBorder="1" applyAlignment="1">
      <alignment horizontal="center" vertical="center" shrinkToFit="1"/>
    </xf>
    <xf numFmtId="0" fontId="10" fillId="0" borderId="86" xfId="0" applyFont="1" applyBorder="1" applyAlignment="1">
      <alignment horizontal="center" vertical="center" shrinkToFit="1"/>
    </xf>
    <xf numFmtId="0" fontId="4" fillId="0" borderId="43" xfId="0" applyNumberFormat="1" applyFont="1" applyFill="1" applyBorder="1" applyAlignment="1">
      <alignment horizontal="center" vertical="center" shrinkToFit="1"/>
    </xf>
    <xf numFmtId="0" fontId="4" fillId="0" borderId="44" xfId="0" applyNumberFormat="1" applyFont="1" applyFill="1" applyBorder="1" applyAlignment="1">
      <alignment horizontal="center" vertical="center" shrinkToFit="1"/>
    </xf>
    <xf numFmtId="0" fontId="12" fillId="6" borderId="16" xfId="0" applyNumberFormat="1" applyFont="1" applyFill="1" applyBorder="1" applyAlignment="1">
      <alignment horizontal="center" vertical="center" shrinkToFit="1"/>
    </xf>
    <xf numFmtId="0" fontId="12" fillId="6" borderId="17" xfId="0" applyNumberFormat="1" applyFont="1" applyFill="1" applyBorder="1" applyAlignment="1">
      <alignment horizontal="center" vertical="center" shrinkToFit="1"/>
    </xf>
    <xf numFmtId="0" fontId="12" fillId="6" borderId="38" xfId="0" applyNumberFormat="1" applyFont="1" applyFill="1" applyBorder="1" applyAlignment="1">
      <alignment horizontal="center" vertical="center" shrinkToFit="1"/>
    </xf>
    <xf numFmtId="49" fontId="12" fillId="0" borderId="58" xfId="0" applyNumberFormat="1" applyFont="1" applyFill="1" applyBorder="1" applyAlignment="1">
      <alignment horizontal="center" vertical="center" shrinkToFit="1"/>
    </xf>
    <xf numFmtId="49" fontId="12" fillId="0" borderId="31" xfId="0" applyNumberFormat="1" applyFont="1" applyFill="1" applyBorder="1" applyAlignment="1">
      <alignment horizontal="center" vertical="center" shrinkToFit="1"/>
    </xf>
    <xf numFmtId="49" fontId="12" fillId="0" borderId="36" xfId="0" applyNumberFormat="1" applyFont="1" applyFill="1" applyBorder="1" applyAlignment="1">
      <alignment horizontal="center" vertical="center" shrinkToFit="1"/>
    </xf>
    <xf numFmtId="0" fontId="10" fillId="0" borderId="16" xfId="0" applyNumberFormat="1" applyFont="1" applyBorder="1" applyAlignment="1">
      <alignment horizontal="center" vertical="center" shrinkToFit="1"/>
    </xf>
    <xf numFmtId="0" fontId="12" fillId="0" borderId="58" xfId="0" applyNumberFormat="1" applyFont="1" applyFill="1" applyBorder="1" applyAlignment="1">
      <alignment horizontal="center" vertical="center" shrinkToFit="1"/>
    </xf>
    <xf numFmtId="49" fontId="12" fillId="6" borderId="91" xfId="0" applyNumberFormat="1" applyFont="1" applyFill="1" applyBorder="1" applyAlignment="1">
      <alignment horizontal="center" vertical="top" textRotation="255" shrinkToFit="1"/>
    </xf>
    <xf numFmtId="49" fontId="12" fillId="6" borderId="92" xfId="0" applyNumberFormat="1" applyFont="1" applyFill="1" applyBorder="1" applyAlignment="1">
      <alignment horizontal="center" vertical="top" textRotation="255" shrinkToFit="1"/>
    </xf>
    <xf numFmtId="0" fontId="12" fillId="0" borderId="59" xfId="0" applyNumberFormat="1" applyFont="1" applyFill="1" applyBorder="1" applyAlignment="1">
      <alignment horizontal="center" vertical="center" shrinkToFit="1"/>
    </xf>
    <xf numFmtId="0" fontId="12" fillId="0" borderId="25" xfId="0" applyNumberFormat="1" applyFont="1" applyFill="1" applyBorder="1" applyAlignment="1">
      <alignment horizontal="center" vertical="center" shrinkToFit="1"/>
    </xf>
    <xf numFmtId="0" fontId="12" fillId="0" borderId="27" xfId="0" applyNumberFormat="1" applyFont="1" applyFill="1" applyBorder="1" applyAlignment="1">
      <alignment horizontal="center" vertical="center" shrinkToFit="1"/>
    </xf>
    <xf numFmtId="0" fontId="12" fillId="0" borderId="28" xfId="0" applyNumberFormat="1" applyFont="1" applyFill="1" applyBorder="1" applyAlignment="1">
      <alignment horizontal="center" vertical="center" shrinkToFit="1"/>
    </xf>
    <xf numFmtId="0" fontId="12" fillId="6" borderId="13" xfId="0" applyFont="1" applyFill="1" applyBorder="1" applyAlignment="1">
      <alignment horizontal="center" vertical="center" wrapText="1" shrinkToFit="1"/>
    </xf>
    <xf numFmtId="0" fontId="12" fillId="6" borderId="41" xfId="0" applyFont="1" applyFill="1" applyBorder="1" applyAlignment="1">
      <alignment horizontal="center" vertical="center" wrapText="1" shrinkToFit="1"/>
    </xf>
    <xf numFmtId="0" fontId="12" fillId="6" borderId="35" xfId="0" applyFont="1" applyFill="1" applyBorder="1" applyAlignment="1">
      <alignment horizontal="center" vertical="center" wrapText="1" shrinkToFit="1"/>
    </xf>
    <xf numFmtId="49" fontId="4" fillId="0" borderId="23" xfId="0" applyNumberFormat="1" applyFont="1" applyFill="1" applyBorder="1" applyAlignment="1">
      <alignment horizontal="center" vertical="center" shrinkToFit="1"/>
    </xf>
    <xf numFmtId="49" fontId="4" fillId="0" borderId="24" xfId="0" applyNumberFormat="1" applyFont="1" applyFill="1" applyBorder="1" applyAlignment="1">
      <alignment horizontal="center" vertical="center" shrinkToFit="1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49" fontId="4" fillId="0" borderId="107" xfId="0" applyNumberFormat="1" applyFont="1" applyFill="1" applyBorder="1" applyAlignment="1">
      <alignment horizontal="center" vertical="center" wrapText="1" shrinkToFit="1"/>
    </xf>
    <xf numFmtId="49" fontId="4" fillId="0" borderId="30" xfId="0" applyNumberFormat="1" applyFont="1" applyFill="1" applyBorder="1" applyAlignment="1">
      <alignment horizontal="center" vertical="center" wrapText="1" shrinkToFit="1"/>
    </xf>
    <xf numFmtId="49" fontId="4" fillId="0" borderId="66" xfId="0" applyNumberFormat="1" applyFont="1" applyFill="1" applyBorder="1" applyAlignment="1">
      <alignment horizontal="center" vertical="center" shrinkToFit="1"/>
    </xf>
    <xf numFmtId="49" fontId="4" fillId="0" borderId="67" xfId="0" applyNumberFormat="1" applyFont="1" applyFill="1" applyBorder="1" applyAlignment="1">
      <alignment horizontal="center" vertical="center" shrinkToFit="1"/>
    </xf>
    <xf numFmtId="49" fontId="4" fillId="0" borderId="68" xfId="0" applyNumberFormat="1" applyFont="1" applyFill="1" applyBorder="1" applyAlignment="1">
      <alignment horizontal="center" vertical="center" shrinkToFit="1"/>
    </xf>
    <xf numFmtId="49" fontId="4" fillId="0" borderId="51" xfId="0" applyNumberFormat="1" applyFont="1" applyFill="1" applyBorder="1" applyAlignment="1">
      <alignment horizontal="center" vertical="center" shrinkToFit="1"/>
    </xf>
    <xf numFmtId="49" fontId="4" fillId="0" borderId="52" xfId="0" applyNumberFormat="1" applyFont="1" applyFill="1" applyBorder="1" applyAlignment="1">
      <alignment horizontal="center" vertical="center" shrinkToFit="1"/>
    </xf>
    <xf numFmtId="49" fontId="4" fillId="0" borderId="53" xfId="0" applyNumberFormat="1" applyFont="1" applyFill="1" applyBorder="1" applyAlignment="1">
      <alignment horizontal="center" vertical="center" shrinkToFit="1"/>
    </xf>
    <xf numFmtId="49" fontId="4" fillId="0" borderId="120" xfId="0" applyNumberFormat="1" applyFont="1" applyFill="1" applyBorder="1" applyAlignment="1">
      <alignment horizontal="center" vertical="center" shrinkToFit="1"/>
    </xf>
    <xf numFmtId="49" fontId="4" fillId="0" borderId="121" xfId="0" applyNumberFormat="1" applyFont="1" applyFill="1" applyBorder="1" applyAlignment="1">
      <alignment horizontal="center" vertical="center" shrinkToFit="1"/>
    </xf>
    <xf numFmtId="49" fontId="4" fillId="0" borderId="122" xfId="0" applyNumberFormat="1" applyFont="1" applyFill="1" applyBorder="1" applyAlignment="1">
      <alignment horizontal="center" vertical="center" shrinkToFit="1"/>
    </xf>
    <xf numFmtId="49" fontId="4" fillId="0" borderId="143" xfId="0" applyNumberFormat="1" applyFont="1" applyFill="1" applyBorder="1" applyAlignment="1">
      <alignment horizontal="center" vertical="center" shrinkToFit="1"/>
    </xf>
    <xf numFmtId="49" fontId="4" fillId="0" borderId="35" xfId="0" applyNumberFormat="1" applyFont="1" applyFill="1" applyBorder="1" applyAlignment="1">
      <alignment horizontal="center" vertical="center" shrinkToFit="1"/>
    </xf>
    <xf numFmtId="49" fontId="4" fillId="0" borderId="36" xfId="0" applyNumberFormat="1" applyFont="1" applyFill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center" vertical="center" wrapText="1" shrinkToFit="1"/>
    </xf>
    <xf numFmtId="0" fontId="4" fillId="0" borderId="5" xfId="0" applyFont="1" applyFill="1" applyBorder="1" applyAlignment="1">
      <alignment horizontal="center" vertical="center" wrapText="1" shrinkToFit="1"/>
    </xf>
    <xf numFmtId="0" fontId="4" fillId="0" borderId="8" xfId="0" applyFont="1" applyFill="1" applyBorder="1" applyAlignment="1">
      <alignment horizontal="center" vertical="center" wrapText="1" shrinkToFit="1"/>
    </xf>
    <xf numFmtId="0" fontId="4" fillId="0" borderId="9" xfId="0" applyFont="1" applyFill="1" applyBorder="1" applyAlignment="1">
      <alignment horizontal="center" vertical="center" wrapText="1" shrinkToFi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 shrinkToFit="1"/>
    </xf>
    <xf numFmtId="0" fontId="0" fillId="0" borderId="12" xfId="0" applyBorder="1">
      <alignment vertical="center"/>
    </xf>
    <xf numFmtId="0" fontId="4" fillId="0" borderId="20" xfId="0" applyFont="1" applyFill="1" applyBorder="1" applyAlignment="1">
      <alignment horizontal="center" vertical="center" shrinkToFit="1"/>
    </xf>
    <xf numFmtId="0" fontId="4" fillId="0" borderId="19" xfId="0" applyFont="1" applyFill="1" applyBorder="1" applyAlignment="1">
      <alignment horizontal="center" vertical="center" shrinkToFit="1"/>
    </xf>
    <xf numFmtId="176" fontId="4" fillId="0" borderId="12" xfId="0" applyNumberFormat="1" applyFont="1" applyFill="1" applyBorder="1" applyAlignment="1">
      <alignment horizontal="center" vertical="center" shrinkToFit="1"/>
    </xf>
    <xf numFmtId="0" fontId="0" fillId="0" borderId="19" xfId="0" applyBorder="1">
      <alignment vertical="center"/>
    </xf>
    <xf numFmtId="0" fontId="5" fillId="2" borderId="20" xfId="0" applyFont="1" applyFill="1" applyBorder="1" applyAlignment="1">
      <alignment horizontal="center" vertical="center"/>
    </xf>
    <xf numFmtId="0" fontId="6" fillId="2" borderId="12" xfId="0" applyFont="1" applyFill="1" applyBorder="1">
      <alignment vertical="center"/>
    </xf>
    <xf numFmtId="0" fontId="6" fillId="2" borderId="21" xfId="0" applyFont="1" applyFill="1" applyBorder="1">
      <alignment vertical="center"/>
    </xf>
    <xf numFmtId="0" fontId="4" fillId="0" borderId="12" xfId="0" applyFont="1" applyFill="1" applyBorder="1" applyAlignment="1">
      <alignment horizontal="center" vertical="center" shrinkToFit="1"/>
    </xf>
    <xf numFmtId="0" fontId="2" fillId="0" borderId="1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4" fillId="0" borderId="95" xfId="0" applyFont="1" applyFill="1" applyBorder="1" applyAlignment="1">
      <alignment horizontal="center" vertical="center" shrinkToFit="1"/>
    </xf>
    <xf numFmtId="0" fontId="4" fillId="0" borderId="89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0" fontId="48" fillId="0" borderId="5" xfId="0" applyFont="1" applyFill="1" applyBorder="1" applyAlignment="1">
      <alignment horizontal="center" vertical="center"/>
    </xf>
    <xf numFmtId="0" fontId="48" fillId="0" borderId="8" xfId="0" applyFont="1" applyFill="1" applyBorder="1" applyAlignment="1">
      <alignment horizontal="center" vertical="center"/>
    </xf>
    <xf numFmtId="0" fontId="48" fillId="0" borderId="40" xfId="0" applyFont="1" applyFill="1" applyBorder="1" applyAlignment="1">
      <alignment horizontal="center" vertical="center"/>
    </xf>
    <xf numFmtId="0" fontId="48" fillId="0" borderId="9" xfId="0" applyFont="1" applyFill="1" applyBorder="1" applyAlignment="1">
      <alignment horizontal="center" vertical="center"/>
    </xf>
    <xf numFmtId="0" fontId="43" fillId="9" borderId="4" xfId="0" applyFont="1" applyFill="1" applyBorder="1" applyAlignment="1">
      <alignment horizontal="center" vertical="center" wrapText="1"/>
    </xf>
    <xf numFmtId="0" fontId="43" fillId="9" borderId="5" xfId="0" applyFont="1" applyFill="1" applyBorder="1" applyAlignment="1">
      <alignment horizontal="center" vertical="center" wrapText="1"/>
    </xf>
    <xf numFmtId="0" fontId="43" fillId="9" borderId="8" xfId="0" applyFont="1" applyFill="1" applyBorder="1" applyAlignment="1">
      <alignment horizontal="center" vertical="center" wrapText="1"/>
    </xf>
    <xf numFmtId="0" fontId="43" fillId="9" borderId="9" xfId="0" applyFont="1" applyFill="1" applyBorder="1" applyAlignment="1">
      <alignment horizontal="center" vertical="center" wrapText="1"/>
    </xf>
    <xf numFmtId="0" fontId="8" fillId="0" borderId="16" xfId="0" applyFont="1" applyFill="1" applyBorder="1" applyAlignment="1">
      <alignment horizontal="center" vertical="center" wrapText="1" shrinkToFit="1"/>
    </xf>
    <xf numFmtId="0" fontId="8" fillId="0" borderId="17" xfId="0" applyFont="1" applyFill="1" applyBorder="1" applyAlignment="1">
      <alignment horizontal="center" vertical="center" wrapText="1" shrinkToFit="1"/>
    </xf>
    <xf numFmtId="0" fontId="8" fillId="0" borderId="18" xfId="0" applyFont="1" applyFill="1" applyBorder="1" applyAlignment="1">
      <alignment horizontal="center" vertical="center" wrapText="1" shrinkToFit="1"/>
    </xf>
    <xf numFmtId="0" fontId="4" fillId="0" borderId="16" xfId="0" applyFont="1" applyFill="1" applyBorder="1" applyAlignment="1">
      <alignment horizontal="center" vertical="center" shrinkToFit="1"/>
    </xf>
    <xf numFmtId="0" fontId="4" fillId="0" borderId="17" xfId="0" applyFont="1" applyFill="1" applyBorder="1" applyAlignment="1">
      <alignment horizontal="center" vertical="center" shrinkToFit="1"/>
    </xf>
    <xf numFmtId="0" fontId="23" fillId="0" borderId="14" xfId="0" applyFont="1" applyFill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center"/>
    </xf>
    <xf numFmtId="0" fontId="23" fillId="0" borderId="40" xfId="0" applyFont="1" applyFill="1" applyBorder="1" applyAlignment="1">
      <alignment horizontal="center" vertical="center"/>
    </xf>
    <xf numFmtId="0" fontId="23" fillId="0" borderId="10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 wrapText="1"/>
    </xf>
    <xf numFmtId="0" fontId="47" fillId="0" borderId="14" xfId="0" applyFont="1" applyFill="1" applyBorder="1" applyAlignment="1">
      <alignment horizontal="center" vertical="center"/>
    </xf>
    <xf numFmtId="0" fontId="47" fillId="0" borderId="8" xfId="0" applyFont="1" applyFill="1" applyBorder="1" applyAlignment="1">
      <alignment horizontal="center" vertical="center"/>
    </xf>
    <xf numFmtId="0" fontId="47" fillId="0" borderId="40" xfId="0" applyFont="1" applyFill="1" applyBorder="1" applyAlignment="1">
      <alignment horizontal="center" vertical="center"/>
    </xf>
    <xf numFmtId="0" fontId="12" fillId="0" borderId="12" xfId="0" applyNumberFormat="1" applyFont="1" applyFill="1" applyBorder="1" applyAlignment="1">
      <alignment horizontal="center" vertical="center" shrinkToFit="1"/>
    </xf>
    <xf numFmtId="177" fontId="28" fillId="0" borderId="13" xfId="0" applyNumberFormat="1" applyFont="1" applyFill="1" applyBorder="1" applyAlignment="1">
      <alignment horizontal="center" vertical="center" shrinkToFit="1"/>
    </xf>
    <xf numFmtId="177" fontId="28" fillId="0" borderId="14" xfId="0" applyNumberFormat="1" applyFont="1" applyFill="1" applyBorder="1" applyAlignment="1">
      <alignment horizontal="center" vertical="center" shrinkToFit="1"/>
    </xf>
    <xf numFmtId="177" fontId="28" fillId="0" borderId="15" xfId="0" applyNumberFormat="1" applyFont="1" applyFill="1" applyBorder="1" applyAlignment="1">
      <alignment horizontal="center" vertical="center" shrinkToFit="1"/>
    </xf>
    <xf numFmtId="177" fontId="28" fillId="0" borderId="41" xfId="0" applyNumberFormat="1" applyFont="1" applyFill="1" applyBorder="1" applyAlignment="1">
      <alignment horizontal="center" vertical="center" shrinkToFit="1"/>
    </xf>
    <xf numFmtId="177" fontId="28" fillId="0" borderId="0" xfId="0" applyNumberFormat="1" applyFont="1" applyFill="1" applyBorder="1" applyAlignment="1">
      <alignment horizontal="center" vertical="center" shrinkToFit="1"/>
    </xf>
    <xf numFmtId="177" fontId="28" fillId="0" borderId="7" xfId="0" applyNumberFormat="1" applyFont="1" applyFill="1" applyBorder="1" applyAlignment="1">
      <alignment horizontal="center" vertical="center" shrinkToFit="1"/>
    </xf>
    <xf numFmtId="0" fontId="4" fillId="0" borderId="29" xfId="0" applyFont="1" applyFill="1" applyBorder="1" applyAlignment="1">
      <alignment horizontal="center" vertical="center" wrapText="1" shrinkToFit="1"/>
    </xf>
    <xf numFmtId="0" fontId="4" fillId="0" borderId="22" xfId="0" applyFont="1" applyFill="1" applyBorder="1" applyAlignment="1">
      <alignment horizontal="center" vertical="center" wrapText="1" shrinkToFit="1"/>
    </xf>
    <xf numFmtId="177" fontId="29" fillId="5" borderId="16" xfId="0" applyNumberFormat="1" applyFont="1" applyFill="1" applyBorder="1" applyAlignment="1">
      <alignment horizontal="center" vertical="center" shrinkToFit="1"/>
    </xf>
    <xf numFmtId="177" fontId="29" fillId="5" borderId="17" xfId="0" applyNumberFormat="1" applyFont="1" applyFill="1" applyBorder="1" applyAlignment="1">
      <alignment horizontal="center" vertical="center" shrinkToFit="1"/>
    </xf>
    <xf numFmtId="177" fontId="29" fillId="5" borderId="38" xfId="0" applyNumberFormat="1" applyFont="1" applyFill="1" applyBorder="1" applyAlignment="1">
      <alignment horizontal="center" vertical="center" shrinkToFit="1"/>
    </xf>
    <xf numFmtId="49" fontId="4" fillId="0" borderId="82" xfId="0" applyNumberFormat="1" applyFont="1" applyFill="1" applyBorder="1" applyAlignment="1">
      <alignment horizontal="center" vertical="center" wrapText="1" shrinkToFit="1"/>
    </xf>
    <xf numFmtId="49" fontId="4" fillId="0" borderId="88" xfId="0" applyNumberFormat="1" applyFont="1" applyFill="1" applyBorder="1" applyAlignment="1">
      <alignment horizontal="center" vertical="center" wrapText="1" shrinkToFit="1"/>
    </xf>
    <xf numFmtId="0" fontId="12" fillId="0" borderId="51" xfId="0" applyNumberFormat="1" applyFont="1" applyFill="1" applyBorder="1" applyAlignment="1">
      <alignment horizontal="center" vertical="center" wrapText="1" shrinkToFit="1"/>
    </xf>
    <xf numFmtId="0" fontId="12" fillId="0" borderId="52" xfId="0" applyNumberFormat="1" applyFont="1" applyFill="1" applyBorder="1" applyAlignment="1">
      <alignment horizontal="center" vertical="center" wrapText="1" shrinkToFit="1"/>
    </xf>
    <xf numFmtId="0" fontId="12" fillId="0" borderId="53" xfId="0" applyNumberFormat="1" applyFont="1" applyFill="1" applyBorder="1" applyAlignment="1">
      <alignment horizontal="center" vertical="center" wrapText="1" shrinkToFit="1"/>
    </xf>
    <xf numFmtId="0" fontId="12" fillId="9" borderId="65" xfId="0" applyNumberFormat="1" applyFont="1" applyFill="1" applyBorder="1" applyAlignment="1">
      <alignment horizontal="center" vertical="center" shrinkToFit="1"/>
    </xf>
    <xf numFmtId="0" fontId="12" fillId="9" borderId="27" xfId="0" applyNumberFormat="1" applyFont="1" applyFill="1" applyBorder="1" applyAlignment="1">
      <alignment horizontal="center" vertical="center" shrinkToFit="1"/>
    </xf>
    <xf numFmtId="0" fontId="12" fillId="9" borderId="26" xfId="0" applyNumberFormat="1" applyFont="1" applyFill="1" applyBorder="1" applyAlignment="1">
      <alignment horizontal="center" vertical="center" shrinkToFit="1"/>
    </xf>
    <xf numFmtId="0" fontId="12" fillId="9" borderId="28" xfId="0" applyNumberFormat="1" applyFont="1" applyFill="1" applyBorder="1" applyAlignment="1">
      <alignment horizontal="center" vertical="center" shrinkToFit="1"/>
    </xf>
    <xf numFmtId="0" fontId="10" fillId="0" borderId="78" xfId="0" applyFont="1" applyBorder="1" applyAlignment="1">
      <alignment horizontal="center" vertical="center" shrinkToFit="1"/>
    </xf>
    <xf numFmtId="0" fontId="10" fillId="0" borderId="83" xfId="0" applyFont="1" applyBorder="1" applyAlignment="1">
      <alignment horizontal="center" vertical="center" shrinkToFit="1"/>
    </xf>
    <xf numFmtId="0" fontId="12" fillId="0" borderId="45" xfId="0" applyNumberFormat="1" applyFont="1" applyFill="1" applyBorder="1" applyAlignment="1">
      <alignment horizontal="center" vertical="center" wrapText="1" shrinkToFit="1"/>
    </xf>
    <xf numFmtId="0" fontId="12" fillId="0" borderId="46" xfId="0" applyNumberFormat="1" applyFont="1" applyFill="1" applyBorder="1" applyAlignment="1">
      <alignment horizontal="center" vertical="center" wrapText="1" shrinkToFit="1"/>
    </xf>
    <xf numFmtId="0" fontId="12" fillId="0" borderId="47" xfId="0" applyNumberFormat="1" applyFont="1" applyFill="1" applyBorder="1" applyAlignment="1">
      <alignment horizontal="center" vertical="center" wrapText="1" shrinkToFit="1"/>
    </xf>
    <xf numFmtId="0" fontId="9" fillId="2" borderId="116" xfId="0" applyNumberFormat="1" applyFont="1" applyFill="1" applyBorder="1" applyAlignment="1">
      <alignment horizontal="center" vertical="center" wrapText="1" shrinkToFit="1"/>
    </xf>
    <xf numFmtId="0" fontId="9" fillId="2" borderId="116" xfId="0" applyNumberFormat="1" applyFont="1" applyFill="1" applyBorder="1" applyAlignment="1">
      <alignment horizontal="center" vertical="center" shrinkToFit="1"/>
    </xf>
    <xf numFmtId="0" fontId="9" fillId="2" borderId="101" xfId="0" applyNumberFormat="1" applyFont="1" applyFill="1" applyBorder="1" applyAlignment="1">
      <alignment horizontal="center" vertical="center" shrinkToFit="1"/>
    </xf>
    <xf numFmtId="0" fontId="12" fillId="0" borderId="29" xfId="0" applyNumberFormat="1" applyFont="1" applyFill="1" applyBorder="1" applyAlignment="1">
      <alignment horizontal="center" vertical="center" wrapText="1" shrinkToFit="1"/>
    </xf>
    <xf numFmtId="0" fontId="12" fillId="0" borderId="22" xfId="0" applyNumberFormat="1" applyFont="1" applyFill="1" applyBorder="1" applyAlignment="1">
      <alignment horizontal="center" vertical="center" shrinkToFit="1"/>
    </xf>
    <xf numFmtId="0" fontId="12" fillId="0" borderId="30" xfId="0" applyNumberFormat="1" applyFont="1" applyFill="1" applyBorder="1" applyAlignment="1">
      <alignment horizontal="center" vertical="center" shrinkToFit="1"/>
    </xf>
    <xf numFmtId="49" fontId="4" fillId="0" borderId="80" xfId="0" applyNumberFormat="1" applyFont="1" applyFill="1" applyBorder="1" applyAlignment="1">
      <alignment horizontal="center" vertical="center" wrapText="1" shrinkToFit="1"/>
    </xf>
    <xf numFmtId="49" fontId="4" fillId="0" borderId="87" xfId="0" applyNumberFormat="1" applyFont="1" applyFill="1" applyBorder="1" applyAlignment="1">
      <alignment horizontal="center" vertical="center" wrapText="1" shrinkToFit="1"/>
    </xf>
    <xf numFmtId="0" fontId="10" fillId="0" borderId="81" xfId="0" applyFont="1" applyBorder="1" applyAlignment="1">
      <alignment horizontal="center" vertical="center" shrinkToFit="1"/>
    </xf>
    <xf numFmtId="0" fontId="10" fillId="0" borderId="64" xfId="0" applyFont="1" applyBorder="1" applyAlignment="1">
      <alignment horizontal="center" vertical="center" shrinkToFit="1"/>
    </xf>
    <xf numFmtId="0" fontId="12" fillId="9" borderId="100" xfId="0" applyNumberFormat="1" applyFont="1" applyFill="1" applyBorder="1" applyAlignment="1">
      <alignment horizontal="center" vertical="center" shrinkToFit="1"/>
    </xf>
    <xf numFmtId="0" fontId="12" fillId="9" borderId="101" xfId="0" applyNumberFormat="1" applyFont="1" applyFill="1" applyBorder="1" applyAlignment="1">
      <alignment horizontal="center" vertical="center" shrinkToFit="1"/>
    </xf>
    <xf numFmtId="0" fontId="12" fillId="0" borderId="8" xfId="0" applyNumberFormat="1" applyFont="1" applyFill="1" applyBorder="1" applyAlignment="1">
      <alignment horizontal="center" vertical="center" shrinkToFit="1"/>
    </xf>
    <xf numFmtId="0" fontId="12" fillId="0" borderId="40" xfId="0" applyNumberFormat="1" applyFont="1" applyFill="1" applyBorder="1" applyAlignment="1">
      <alignment horizontal="center" vertical="center" shrinkToFit="1"/>
    </xf>
    <xf numFmtId="0" fontId="12" fillId="0" borderId="9" xfId="0" applyNumberFormat="1" applyFont="1" applyFill="1" applyBorder="1" applyAlignment="1">
      <alignment horizontal="center" vertical="center" shrinkToFit="1"/>
    </xf>
    <xf numFmtId="0" fontId="12" fillId="0" borderId="4" xfId="0" applyNumberFormat="1" applyFont="1" applyFill="1" applyBorder="1" applyAlignment="1">
      <alignment horizontal="center" vertical="center" shrinkToFit="1"/>
    </xf>
    <xf numFmtId="0" fontId="12" fillId="0" borderId="2" xfId="0" applyNumberFormat="1" applyFont="1" applyFill="1" applyBorder="1" applyAlignment="1">
      <alignment horizontal="center" vertical="center" shrinkToFit="1"/>
    </xf>
    <xf numFmtId="0" fontId="18" fillId="0" borderId="0" xfId="0" applyNumberFormat="1" applyFont="1" applyFill="1" applyBorder="1" applyAlignment="1">
      <alignment horizontal="left" vertical="top" wrapText="1" shrinkToFit="1"/>
    </xf>
    <xf numFmtId="0" fontId="12" fillId="0" borderId="37" xfId="0" applyNumberFormat="1" applyFont="1" applyFill="1" applyBorder="1" applyAlignment="1">
      <alignment horizontal="center" vertical="center" shrinkToFit="1"/>
    </xf>
    <xf numFmtId="0" fontId="12" fillId="0" borderId="18" xfId="0" applyNumberFormat="1" applyFont="1" applyFill="1" applyBorder="1" applyAlignment="1">
      <alignment horizontal="center" vertical="center" shrinkToFit="1"/>
    </xf>
    <xf numFmtId="0" fontId="12" fillId="6" borderId="37" xfId="0" applyNumberFormat="1" applyFont="1" applyFill="1" applyBorder="1" applyAlignment="1">
      <alignment horizontal="center" vertical="center" shrinkToFit="1"/>
    </xf>
    <xf numFmtId="49" fontId="30" fillId="5" borderId="13" xfId="0" applyNumberFormat="1" applyFont="1" applyFill="1" applyBorder="1" applyAlignment="1">
      <alignment horizontal="center" vertical="center" shrinkToFit="1"/>
    </xf>
    <xf numFmtId="49" fontId="30" fillId="5" borderId="14" xfId="0" applyNumberFormat="1" applyFont="1" applyFill="1" applyBorder="1" applyAlignment="1">
      <alignment horizontal="center" vertical="center" shrinkToFit="1"/>
    </xf>
    <xf numFmtId="49" fontId="30" fillId="5" borderId="15" xfId="0" applyNumberFormat="1" applyFont="1" applyFill="1" applyBorder="1" applyAlignment="1">
      <alignment horizontal="center" vertical="center" shrinkToFit="1"/>
    </xf>
    <xf numFmtId="49" fontId="30" fillId="5" borderId="35" xfId="0" applyNumberFormat="1" applyFont="1" applyFill="1" applyBorder="1" applyAlignment="1">
      <alignment horizontal="center" vertical="center" shrinkToFit="1"/>
    </xf>
    <xf numFmtId="49" fontId="30" fillId="5" borderId="31" xfId="0" applyNumberFormat="1" applyFont="1" applyFill="1" applyBorder="1" applyAlignment="1">
      <alignment horizontal="center" vertical="center" shrinkToFit="1"/>
    </xf>
    <xf numFmtId="49" fontId="30" fillId="5" borderId="36" xfId="0" applyNumberFormat="1" applyFont="1" applyFill="1" applyBorder="1" applyAlignment="1">
      <alignment horizontal="center" vertical="center" shrinkToFit="1"/>
    </xf>
    <xf numFmtId="0" fontId="12" fillId="0" borderId="32" xfId="0" applyNumberFormat="1" applyFont="1" applyFill="1" applyBorder="1" applyAlignment="1">
      <alignment horizontal="center" vertical="center" shrinkToFit="1"/>
    </xf>
    <xf numFmtId="49" fontId="4" fillId="0" borderId="106" xfId="0" applyNumberFormat="1" applyFont="1" applyFill="1" applyBorder="1" applyAlignment="1">
      <alignment horizontal="center" vertical="center" shrinkToFit="1"/>
    </xf>
    <xf numFmtId="49" fontId="4" fillId="0" borderId="22" xfId="0" applyNumberFormat="1" applyFont="1" applyFill="1" applyBorder="1" applyAlignment="1">
      <alignment horizontal="center" vertical="center" shrinkToFit="1"/>
    </xf>
    <xf numFmtId="49" fontId="4" fillId="0" borderId="109" xfId="0" applyNumberFormat="1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center" vertical="center" wrapText="1" shrinkToFit="1"/>
    </xf>
    <xf numFmtId="0" fontId="11" fillId="0" borderId="2" xfId="0" applyNumberFormat="1" applyFont="1" applyFill="1" applyBorder="1" applyAlignment="1">
      <alignment horizontal="center" vertical="center" shrinkToFit="1"/>
    </xf>
    <xf numFmtId="0" fontId="27" fillId="0" borderId="4" xfId="0" applyNumberFormat="1" applyFont="1" applyFill="1" applyBorder="1" applyAlignment="1">
      <alignment horizontal="left" vertical="top" shrinkToFit="1"/>
    </xf>
    <xf numFmtId="0" fontId="27" fillId="0" borderId="2" xfId="0" applyNumberFormat="1" applyFont="1" applyFill="1" applyBorder="1" applyAlignment="1">
      <alignment horizontal="left" vertical="top" shrinkToFit="1"/>
    </xf>
    <xf numFmtId="0" fontId="27" fillId="0" borderId="3" xfId="0" applyNumberFormat="1" applyFont="1" applyFill="1" applyBorder="1" applyAlignment="1">
      <alignment horizontal="left" vertical="top" shrinkToFit="1"/>
    </xf>
    <xf numFmtId="0" fontId="27" fillId="0" borderId="8" xfId="0" applyNumberFormat="1" applyFont="1" applyFill="1" applyBorder="1" applyAlignment="1">
      <alignment horizontal="left" vertical="top" shrinkToFit="1"/>
    </xf>
    <xf numFmtId="0" fontId="27" fillId="0" borderId="40" xfId="0" applyNumberFormat="1" applyFont="1" applyFill="1" applyBorder="1" applyAlignment="1">
      <alignment horizontal="left" vertical="top" shrinkToFit="1"/>
    </xf>
    <xf numFmtId="0" fontId="27" fillId="0" borderId="10" xfId="0" applyNumberFormat="1" applyFont="1" applyFill="1" applyBorder="1" applyAlignment="1">
      <alignment horizontal="left" vertical="top" shrinkToFit="1"/>
    </xf>
    <xf numFmtId="177" fontId="4" fillId="0" borderId="20" xfId="0" applyNumberFormat="1" applyFont="1" applyFill="1" applyBorder="1" applyAlignment="1">
      <alignment horizontal="center" vertical="center" shrinkToFit="1"/>
    </xf>
    <xf numFmtId="177" fontId="4" fillId="0" borderId="12" xfId="0" applyNumberFormat="1" applyFont="1" applyFill="1" applyBorder="1" applyAlignment="1">
      <alignment horizontal="center" vertical="center" shrinkToFit="1"/>
    </xf>
    <xf numFmtId="177" fontId="4" fillId="0" borderId="21" xfId="0" applyNumberFormat="1" applyFont="1" applyFill="1" applyBorder="1" applyAlignment="1">
      <alignment horizontal="center" vertical="center" shrinkToFit="1"/>
    </xf>
    <xf numFmtId="177" fontId="4" fillId="3" borderId="11" xfId="0" applyNumberFormat="1" applyFont="1" applyFill="1" applyBorder="1" applyAlignment="1">
      <alignment horizontal="center" vertical="center" shrinkToFit="1"/>
    </xf>
    <xf numFmtId="177" fontId="4" fillId="3" borderId="12" xfId="0" applyNumberFormat="1" applyFont="1" applyFill="1" applyBorder="1" applyAlignment="1">
      <alignment horizontal="center" vertical="center" shrinkToFit="1"/>
    </xf>
    <xf numFmtId="0" fontId="12" fillId="0" borderId="20" xfId="0" applyNumberFormat="1" applyFont="1" applyFill="1" applyBorder="1" applyAlignment="1">
      <alignment horizontal="center" vertical="center" shrinkToFit="1"/>
    </xf>
    <xf numFmtId="0" fontId="12" fillId="0" borderId="21" xfId="0" applyNumberFormat="1" applyFont="1" applyFill="1" applyBorder="1" applyAlignment="1">
      <alignment horizontal="center" vertical="center" shrinkToFit="1"/>
    </xf>
    <xf numFmtId="0" fontId="4" fillId="0" borderId="100" xfId="0" applyFont="1" applyFill="1" applyBorder="1" applyAlignment="1">
      <alignment horizontal="center" vertical="center" shrinkToFit="1"/>
    </xf>
    <xf numFmtId="0" fontId="4" fillId="0" borderId="101" xfId="0" applyFont="1" applyFill="1" applyBorder="1" applyAlignment="1">
      <alignment horizontal="center" vertical="center" shrinkToFit="1"/>
    </xf>
    <xf numFmtId="0" fontId="8" fillId="0" borderId="65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26" xfId="0" applyFont="1" applyFill="1" applyBorder="1" applyAlignment="1">
      <alignment horizontal="center" vertical="center" wrapText="1"/>
    </xf>
    <xf numFmtId="0" fontId="4" fillId="0" borderId="65" xfId="0" applyFont="1" applyFill="1" applyBorder="1" applyAlignment="1">
      <alignment horizontal="center" vertical="center" wrapText="1" shrinkToFit="1"/>
    </xf>
    <xf numFmtId="0" fontId="4" fillId="0" borderId="26" xfId="0" applyFont="1" applyFill="1" applyBorder="1" applyAlignment="1">
      <alignment horizontal="center" vertical="center" wrapText="1" shrinkToFit="1"/>
    </xf>
    <xf numFmtId="177" fontId="4" fillId="0" borderId="65" xfId="0" applyNumberFormat="1" applyFont="1" applyFill="1" applyBorder="1" applyAlignment="1">
      <alignment horizontal="center" vertical="center" shrinkToFit="1"/>
    </xf>
    <xf numFmtId="177" fontId="4" fillId="0" borderId="27" xfId="0" applyNumberFormat="1" applyFont="1" applyFill="1" applyBorder="1" applyAlignment="1">
      <alignment horizontal="center" vertical="center" shrinkToFit="1"/>
    </xf>
    <xf numFmtId="0" fontId="12" fillId="0" borderId="11" xfId="0" applyNumberFormat="1" applyFont="1" applyFill="1" applyBorder="1" applyAlignment="1">
      <alignment horizontal="center" vertical="center" shrinkToFit="1"/>
    </xf>
    <xf numFmtId="0" fontId="12" fillId="0" borderId="19" xfId="0" applyNumberFormat="1" applyFont="1" applyFill="1" applyBorder="1" applyAlignment="1">
      <alignment horizontal="center" vertical="center" shrinkToFit="1"/>
    </xf>
    <xf numFmtId="0" fontId="7" fillId="0" borderId="85" xfId="2" applyFont="1" applyBorder="1" applyAlignment="1">
      <alignment horizontal="center" vertical="center" shrinkToFit="1"/>
    </xf>
    <xf numFmtId="0" fontId="0" fillId="0" borderId="58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2" fillId="0" borderId="10" xfId="0" applyNumberFormat="1" applyFont="1" applyFill="1" applyBorder="1" applyAlignment="1">
      <alignment horizontal="center" vertical="center" shrinkToFit="1"/>
    </xf>
    <xf numFmtId="0" fontId="12" fillId="6" borderId="1" xfId="0" applyNumberFormat="1" applyFont="1" applyFill="1" applyBorder="1" applyAlignment="1">
      <alignment horizontal="center" vertical="center" wrapText="1" shrinkToFit="1"/>
    </xf>
    <xf numFmtId="0" fontId="12" fillId="6" borderId="3" xfId="0" applyNumberFormat="1" applyFont="1" applyFill="1" applyBorder="1" applyAlignment="1">
      <alignment horizontal="center" vertical="center" wrapText="1" shrinkToFit="1"/>
    </xf>
    <xf numFmtId="0" fontId="12" fillId="6" borderId="6" xfId="0" applyNumberFormat="1" applyFont="1" applyFill="1" applyBorder="1" applyAlignment="1">
      <alignment horizontal="center" vertical="center" wrapText="1" shrinkToFit="1"/>
    </xf>
    <xf numFmtId="0" fontId="12" fillId="6" borderId="7" xfId="0" applyNumberFormat="1" applyFont="1" applyFill="1" applyBorder="1" applyAlignment="1">
      <alignment horizontal="center" vertical="center" wrapText="1" shrinkToFit="1"/>
    </xf>
    <xf numFmtId="0" fontId="12" fillId="6" borderId="39" xfId="0" applyNumberFormat="1" applyFont="1" applyFill="1" applyBorder="1" applyAlignment="1">
      <alignment horizontal="center" vertical="center" wrapText="1" shrinkToFit="1"/>
    </xf>
    <xf numFmtId="0" fontId="12" fillId="6" borderId="10" xfId="0" applyNumberFormat="1" applyFont="1" applyFill="1" applyBorder="1" applyAlignment="1">
      <alignment horizontal="center" vertical="center" wrapText="1" shrinkToFit="1"/>
    </xf>
    <xf numFmtId="10" fontId="12" fillId="0" borderId="37" xfId="0" applyNumberFormat="1" applyFont="1" applyFill="1" applyBorder="1" applyAlignment="1">
      <alignment horizontal="center" vertical="center" shrinkToFit="1"/>
    </xf>
    <xf numFmtId="10" fontId="12" fillId="0" borderId="17" xfId="0" applyNumberFormat="1" applyFont="1" applyFill="1" applyBorder="1" applyAlignment="1">
      <alignment horizontal="center" vertical="center" shrinkToFit="1"/>
    </xf>
    <xf numFmtId="0" fontId="9" fillId="2" borderId="37" xfId="0" applyNumberFormat="1" applyFont="1" applyFill="1" applyBorder="1" applyAlignment="1">
      <alignment horizontal="center" vertical="center" shrinkToFit="1"/>
    </xf>
    <xf numFmtId="0" fontId="9" fillId="2" borderId="17" xfId="0" applyNumberFormat="1" applyFont="1" applyFill="1" applyBorder="1" applyAlignment="1">
      <alignment horizontal="center" vertical="center" shrinkToFit="1"/>
    </xf>
    <xf numFmtId="10" fontId="12" fillId="0" borderId="38" xfId="0" applyNumberFormat="1" applyFont="1" applyFill="1" applyBorder="1" applyAlignment="1">
      <alignment horizontal="center" vertical="center" shrinkToFit="1"/>
    </xf>
    <xf numFmtId="0" fontId="4" fillId="0" borderId="56" xfId="0" applyNumberFormat="1" applyFont="1" applyFill="1" applyBorder="1" applyAlignment="1">
      <alignment horizontal="center" vertical="center" shrinkToFit="1"/>
    </xf>
    <xf numFmtId="0" fontId="4" fillId="0" borderId="57" xfId="0" applyNumberFormat="1" applyFont="1" applyFill="1" applyBorder="1" applyAlignment="1">
      <alignment horizontal="center" vertical="center" shrinkToFit="1"/>
    </xf>
    <xf numFmtId="49" fontId="12" fillId="0" borderId="17" xfId="0" applyNumberFormat="1" applyFont="1" applyFill="1" applyBorder="1" applyAlignment="1">
      <alignment horizontal="center" vertical="center" shrinkToFit="1"/>
    </xf>
    <xf numFmtId="49" fontId="12" fillId="0" borderId="37" xfId="0" applyNumberFormat="1" applyFont="1" applyFill="1" applyBorder="1" applyAlignment="1">
      <alignment horizontal="center" vertical="center" shrinkToFit="1"/>
    </xf>
    <xf numFmtId="49" fontId="12" fillId="0" borderId="38" xfId="0" applyNumberFormat="1" applyFont="1" applyFill="1" applyBorder="1" applyAlignment="1">
      <alignment horizontal="center" vertical="center" shrinkToFit="1"/>
    </xf>
    <xf numFmtId="0" fontId="4" fillId="0" borderId="58" xfId="0" applyNumberFormat="1" applyFont="1" applyFill="1" applyBorder="1" applyAlignment="1">
      <alignment horizontal="center" vertical="center" shrinkToFit="1"/>
    </xf>
    <xf numFmtId="0" fontId="4" fillId="0" borderId="31" xfId="0" applyNumberFormat="1" applyFont="1" applyFill="1" applyBorder="1" applyAlignment="1">
      <alignment horizontal="center" vertical="center" shrinkToFit="1"/>
    </xf>
    <xf numFmtId="0" fontId="35" fillId="9" borderId="49" xfId="0" applyNumberFormat="1" applyFont="1" applyFill="1" applyBorder="1" applyAlignment="1">
      <alignment horizontal="center" vertical="center" wrapText="1" shrinkToFit="1"/>
    </xf>
    <xf numFmtId="0" fontId="35" fillId="9" borderId="53" xfId="0" applyNumberFormat="1" applyFont="1" applyFill="1" applyBorder="1" applyAlignment="1">
      <alignment horizontal="center" vertical="center" wrapText="1" shrinkToFit="1"/>
    </xf>
    <xf numFmtId="0" fontId="35" fillId="9" borderId="6" xfId="0" applyNumberFormat="1" applyFont="1" applyFill="1" applyBorder="1" applyAlignment="1">
      <alignment horizontal="center" vertical="center" wrapText="1" shrinkToFit="1"/>
    </xf>
    <xf numFmtId="0" fontId="35" fillId="9" borderId="7" xfId="0" applyNumberFormat="1" applyFont="1" applyFill="1" applyBorder="1" applyAlignment="1">
      <alignment horizontal="center" vertical="center" wrapText="1" shrinkToFit="1"/>
    </xf>
    <xf numFmtId="0" fontId="35" fillId="9" borderId="58" xfId="0" applyNumberFormat="1" applyFont="1" applyFill="1" applyBorder="1" applyAlignment="1">
      <alignment horizontal="center" vertical="center" wrapText="1" shrinkToFit="1"/>
    </xf>
    <xf numFmtId="0" fontId="35" fillId="9" borderId="36" xfId="0" applyNumberFormat="1" applyFont="1" applyFill="1" applyBorder="1" applyAlignment="1">
      <alignment horizontal="center" vertical="center" wrapText="1" shrinkToFit="1"/>
    </xf>
    <xf numFmtId="0" fontId="7" fillId="0" borderId="17" xfId="0" applyFont="1" applyFill="1" applyBorder="1" applyAlignment="1">
      <alignment vertical="center" shrinkToFit="1"/>
    </xf>
    <xf numFmtId="0" fontId="7" fillId="0" borderId="38" xfId="0" applyFont="1" applyFill="1" applyBorder="1" applyAlignment="1">
      <alignment vertical="center" shrinkToFit="1"/>
    </xf>
    <xf numFmtId="0" fontId="36" fillId="5" borderId="29" xfId="0" applyNumberFormat="1" applyFont="1" applyFill="1" applyBorder="1" applyAlignment="1">
      <alignment horizontal="center" vertical="center" shrinkToFit="1"/>
    </xf>
    <xf numFmtId="0" fontId="36" fillId="5" borderId="14" xfId="0" applyNumberFormat="1" applyFont="1" applyFill="1" applyBorder="1" applyAlignment="1">
      <alignment horizontal="center" vertical="center" shrinkToFit="1"/>
    </xf>
    <xf numFmtId="0" fontId="36" fillId="5" borderId="22" xfId="0" applyNumberFormat="1" applyFont="1" applyFill="1" applyBorder="1" applyAlignment="1">
      <alignment horizontal="center" vertical="center" shrinkToFit="1"/>
    </xf>
    <xf numFmtId="0" fontId="36" fillId="5" borderId="6" xfId="0" applyNumberFormat="1" applyFont="1" applyFill="1" applyBorder="1" applyAlignment="1">
      <alignment horizontal="center" vertical="center" shrinkToFit="1"/>
    </xf>
    <xf numFmtId="0" fontId="36" fillId="5" borderId="0" xfId="0" applyNumberFormat="1" applyFont="1" applyFill="1" applyBorder="1" applyAlignment="1">
      <alignment horizontal="center" vertical="center" shrinkToFit="1"/>
    </xf>
    <xf numFmtId="0" fontId="36" fillId="5" borderId="30" xfId="0" applyNumberFormat="1" applyFont="1" applyFill="1" applyBorder="1" applyAlignment="1">
      <alignment horizontal="center" vertical="center" shrinkToFit="1"/>
    </xf>
    <xf numFmtId="0" fontId="7" fillId="0" borderId="89" xfId="2" applyFont="1" applyBorder="1" applyAlignment="1">
      <alignment horizontal="center" vertical="center" shrinkToFit="1"/>
    </xf>
    <xf numFmtId="0" fontId="7" fillId="0" borderId="89" xfId="2" applyFont="1" applyBorder="1" applyAlignment="1">
      <alignment horizontal="center" vertical="center"/>
    </xf>
    <xf numFmtId="0" fontId="7" fillId="0" borderId="125" xfId="2" applyFont="1" applyBorder="1" applyAlignment="1">
      <alignment horizontal="center" vertical="center"/>
    </xf>
    <xf numFmtId="0" fontId="7" fillId="0" borderId="99" xfId="2" applyFont="1" applyBorder="1" applyAlignment="1">
      <alignment horizontal="center" vertical="center"/>
    </xf>
    <xf numFmtId="0" fontId="7" fillId="0" borderId="95" xfId="2" applyFont="1" applyBorder="1" applyAlignment="1">
      <alignment horizontal="center" vertical="center"/>
    </xf>
    <xf numFmtId="0" fontId="26" fillId="0" borderId="89" xfId="0" applyNumberFormat="1" applyFont="1" applyFill="1" applyBorder="1" applyAlignment="1">
      <alignment horizontal="center" vertical="center" wrapText="1" shrinkToFit="1"/>
    </xf>
    <xf numFmtId="0" fontId="45" fillId="0" borderId="13" xfId="0" applyNumberFormat="1" applyFont="1" applyFill="1" applyBorder="1" applyAlignment="1">
      <alignment vertical="top" wrapText="1" shrinkToFit="1"/>
    </xf>
    <xf numFmtId="0" fontId="45" fillId="0" borderId="14" xfId="0" applyNumberFormat="1" applyFont="1" applyFill="1" applyBorder="1" applyAlignment="1">
      <alignment vertical="top" wrapText="1" shrinkToFit="1"/>
    </xf>
    <xf numFmtId="0" fontId="45" fillId="0" borderId="15" xfId="0" applyNumberFormat="1" applyFont="1" applyFill="1" applyBorder="1" applyAlignment="1">
      <alignment vertical="top" wrapText="1" shrinkToFit="1"/>
    </xf>
    <xf numFmtId="0" fontId="45" fillId="0" borderId="41" xfId="0" applyNumberFormat="1" applyFont="1" applyFill="1" applyBorder="1" applyAlignment="1">
      <alignment vertical="top" wrapText="1" shrinkToFit="1"/>
    </xf>
    <xf numFmtId="0" fontId="45" fillId="0" borderId="0" xfId="0" applyNumberFormat="1" applyFont="1" applyFill="1" applyBorder="1" applyAlignment="1">
      <alignment vertical="top" wrapText="1" shrinkToFit="1"/>
    </xf>
    <xf numFmtId="0" fontId="45" fillId="0" borderId="7" xfId="0" applyNumberFormat="1" applyFont="1" applyFill="1" applyBorder="1" applyAlignment="1">
      <alignment vertical="top" wrapText="1" shrinkToFit="1"/>
    </xf>
    <xf numFmtId="0" fontId="45" fillId="0" borderId="35" xfId="0" applyNumberFormat="1" applyFont="1" applyFill="1" applyBorder="1" applyAlignment="1">
      <alignment vertical="top" wrapText="1" shrinkToFit="1"/>
    </xf>
    <xf numFmtId="0" fontId="45" fillId="0" borderId="31" xfId="0" applyNumberFormat="1" applyFont="1" applyFill="1" applyBorder="1" applyAlignment="1">
      <alignment vertical="top" wrapText="1" shrinkToFit="1"/>
    </xf>
    <xf numFmtId="0" fontId="45" fillId="0" borderId="36" xfId="0" applyNumberFormat="1" applyFont="1" applyFill="1" applyBorder="1" applyAlignment="1">
      <alignment vertical="top" wrapText="1" shrinkToFit="1"/>
    </xf>
    <xf numFmtId="0" fontId="39" fillId="0" borderId="1" xfId="2" applyFont="1" applyBorder="1" applyAlignment="1">
      <alignment horizontal="center" vertical="center" wrapText="1"/>
    </xf>
    <xf numFmtId="0" fontId="39" fillId="0" borderId="2" xfId="2" applyFont="1" applyBorder="1" applyAlignment="1">
      <alignment horizontal="center" vertical="center" wrapText="1"/>
    </xf>
    <xf numFmtId="0" fontId="39" fillId="0" borderId="3" xfId="2" applyFont="1" applyBorder="1" applyAlignment="1">
      <alignment horizontal="center" vertical="center" wrapText="1"/>
    </xf>
    <xf numFmtId="0" fontId="39" fillId="0" borderId="6" xfId="2" applyFont="1" applyBorder="1" applyAlignment="1">
      <alignment horizontal="center" vertical="center" wrapText="1"/>
    </xf>
    <xf numFmtId="0" fontId="39" fillId="0" borderId="0" xfId="2" applyFont="1" applyBorder="1" applyAlignment="1">
      <alignment horizontal="center" vertical="center" wrapText="1"/>
    </xf>
    <xf numFmtId="0" fontId="39" fillId="0" borderId="7" xfId="2" applyFont="1" applyBorder="1" applyAlignment="1">
      <alignment horizontal="center" vertical="center" wrapText="1"/>
    </xf>
    <xf numFmtId="49" fontId="4" fillId="0" borderId="112" xfId="0" applyNumberFormat="1" applyFont="1" applyFill="1" applyBorder="1" applyAlignment="1">
      <alignment horizontal="center" vertical="center" shrinkToFit="1"/>
    </xf>
    <xf numFmtId="49" fontId="4" fillId="0" borderId="46" xfId="0" applyNumberFormat="1" applyFont="1" applyFill="1" applyBorder="1" applyAlignment="1">
      <alignment horizontal="center" vertical="center" shrinkToFit="1"/>
    </xf>
    <xf numFmtId="49" fontId="4" fillId="0" borderId="113" xfId="0" applyNumberFormat="1" applyFont="1" applyFill="1" applyBorder="1" applyAlignment="1">
      <alignment horizontal="center" vertical="center" shrinkToFit="1"/>
    </xf>
    <xf numFmtId="49" fontId="4" fillId="0" borderId="138" xfId="0" applyNumberFormat="1" applyFont="1" applyFill="1" applyBorder="1" applyAlignment="1">
      <alignment horizontal="center" vertical="center" shrinkToFit="1"/>
    </xf>
    <xf numFmtId="49" fontId="4" fillId="0" borderId="34" xfId="0" applyNumberFormat="1" applyFont="1" applyFill="1" applyBorder="1" applyAlignment="1">
      <alignment horizontal="center" vertical="center" shrinkToFit="1"/>
    </xf>
    <xf numFmtId="49" fontId="4" fillId="0" borderId="139" xfId="0" applyNumberFormat="1" applyFont="1" applyFill="1" applyBorder="1" applyAlignment="1">
      <alignment horizontal="center" vertical="center" shrinkToFit="1"/>
    </xf>
    <xf numFmtId="0" fontId="12" fillId="6" borderId="89" xfId="0" applyNumberFormat="1" applyFont="1" applyFill="1" applyBorder="1" applyAlignment="1">
      <alignment horizontal="center" vertical="center" wrapText="1" shrinkToFit="1"/>
    </xf>
    <xf numFmtId="0" fontId="12" fillId="6" borderId="99" xfId="0" applyNumberFormat="1" applyFont="1" applyFill="1" applyBorder="1" applyAlignment="1">
      <alignment horizontal="center" vertical="center" wrapText="1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0" fontId="9" fillId="4" borderId="6" xfId="0" applyNumberFormat="1" applyFont="1" applyFill="1" applyBorder="1" applyAlignment="1">
      <alignment horizontal="center" vertical="center" shrinkToFit="1"/>
    </xf>
    <xf numFmtId="0" fontId="9" fillId="4" borderId="0" xfId="0" applyNumberFormat="1" applyFont="1" applyFill="1" applyBorder="1" applyAlignment="1">
      <alignment horizontal="center" vertical="center" shrinkToFit="1"/>
    </xf>
    <xf numFmtId="0" fontId="9" fillId="4" borderId="58" xfId="0" applyNumberFormat="1" applyFont="1" applyFill="1" applyBorder="1" applyAlignment="1">
      <alignment horizontal="center" vertical="center" shrinkToFit="1"/>
    </xf>
    <xf numFmtId="0" fontId="9" fillId="4" borderId="31" xfId="0" applyNumberFormat="1" applyFont="1" applyFill="1" applyBorder="1" applyAlignment="1">
      <alignment horizontal="center" vertical="center" shrinkToFit="1"/>
    </xf>
    <xf numFmtId="0" fontId="0" fillId="0" borderId="89" xfId="0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7" fillId="0" borderId="89" xfId="2" applyFont="1" applyBorder="1" applyAlignment="1">
      <alignment horizontal="center" vertical="center" wrapText="1" shrinkToFit="1"/>
    </xf>
    <xf numFmtId="49" fontId="7" fillId="0" borderId="95" xfId="2" applyNumberFormat="1" applyFont="1" applyBorder="1" applyAlignment="1">
      <alignment horizontal="center" vertical="center"/>
    </xf>
    <xf numFmtId="49" fontId="7" fillId="0" borderId="89" xfId="2" applyNumberFormat="1" applyFont="1" applyBorder="1" applyAlignment="1">
      <alignment horizontal="center" vertical="center"/>
    </xf>
    <xf numFmtId="0" fontId="7" fillId="0" borderId="100" xfId="2" applyFont="1" applyBorder="1" applyAlignment="1">
      <alignment horizontal="center" vertical="center"/>
    </xf>
    <xf numFmtId="0" fontId="7" fillId="0" borderId="101" xfId="2" applyFont="1" applyBorder="1" applyAlignment="1">
      <alignment horizontal="center" vertical="center"/>
    </xf>
    <xf numFmtId="0" fontId="7" fillId="0" borderId="101" xfId="2" applyFont="1" applyBorder="1" applyAlignment="1">
      <alignment horizontal="center" vertical="center" shrinkToFit="1"/>
    </xf>
    <xf numFmtId="0" fontId="0" fillId="0" borderId="101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7" fillId="0" borderId="58" xfId="2" applyFont="1" applyBorder="1" applyAlignment="1">
      <alignment horizontal="center" vertical="center"/>
    </xf>
    <xf numFmtId="0" fontId="7" fillId="0" borderId="31" xfId="2" applyFont="1" applyBorder="1" applyAlignment="1">
      <alignment horizontal="center" vertical="center"/>
    </xf>
    <xf numFmtId="0" fontId="7" fillId="0" borderId="83" xfId="2" applyFont="1" applyBorder="1" applyAlignment="1">
      <alignment horizontal="center" vertical="center" shrinkToFit="1"/>
    </xf>
    <xf numFmtId="0" fontId="12" fillId="6" borderId="95" xfId="0" applyNumberFormat="1" applyFont="1" applyFill="1" applyBorder="1" applyAlignment="1">
      <alignment horizontal="center" vertical="center" shrinkToFit="1"/>
    </xf>
    <xf numFmtId="0" fontId="12" fillId="6" borderId="89" xfId="0" applyNumberFormat="1" applyFont="1" applyFill="1" applyBorder="1" applyAlignment="1">
      <alignment horizontal="center" vertical="center" shrinkToFit="1"/>
    </xf>
    <xf numFmtId="49" fontId="12" fillId="0" borderId="29" xfId="0" applyNumberFormat="1" applyFont="1" applyFill="1" applyBorder="1" applyAlignment="1">
      <alignment horizontal="left" vertical="center" wrapText="1" shrinkToFit="1"/>
    </xf>
    <xf numFmtId="49" fontId="12" fillId="0" borderId="14" xfId="0" applyNumberFormat="1" applyFont="1" applyFill="1" applyBorder="1" applyAlignment="1">
      <alignment horizontal="left" vertical="center" wrapText="1" shrinkToFit="1"/>
    </xf>
    <xf numFmtId="49" fontId="12" fillId="0" borderId="22" xfId="0" applyNumberFormat="1" applyFont="1" applyFill="1" applyBorder="1" applyAlignment="1">
      <alignment horizontal="left" vertical="center" wrapText="1" shrinkToFit="1"/>
    </xf>
    <xf numFmtId="49" fontId="12" fillId="0" borderId="6" xfId="0" applyNumberFormat="1" applyFont="1" applyFill="1" applyBorder="1" applyAlignment="1">
      <alignment horizontal="left" vertical="center" wrapText="1" shrinkToFit="1"/>
    </xf>
    <xf numFmtId="49" fontId="12" fillId="0" borderId="0" xfId="0" applyNumberFormat="1" applyFont="1" applyFill="1" applyBorder="1" applyAlignment="1">
      <alignment horizontal="left" vertical="center" wrapText="1" shrinkToFit="1"/>
    </xf>
    <xf numFmtId="49" fontId="12" fillId="0" borderId="30" xfId="0" applyNumberFormat="1" applyFont="1" applyFill="1" applyBorder="1" applyAlignment="1">
      <alignment horizontal="left" vertical="center" wrapText="1" shrinkToFit="1"/>
    </xf>
    <xf numFmtId="49" fontId="12" fillId="0" borderId="58" xfId="0" applyNumberFormat="1" applyFont="1" applyFill="1" applyBorder="1" applyAlignment="1">
      <alignment horizontal="left" vertical="center" wrapText="1" shrinkToFit="1"/>
    </xf>
    <xf numFmtId="49" fontId="12" fillId="0" borderId="31" xfId="0" applyNumberFormat="1" applyFont="1" applyFill="1" applyBorder="1" applyAlignment="1">
      <alignment horizontal="left" vertical="center" wrapText="1" shrinkToFit="1"/>
    </xf>
    <xf numFmtId="49" fontId="12" fillId="0" borderId="32" xfId="0" applyNumberFormat="1" applyFont="1" applyFill="1" applyBorder="1" applyAlignment="1">
      <alignment horizontal="left" vertical="center" wrapText="1" shrinkToFit="1"/>
    </xf>
    <xf numFmtId="0" fontId="30" fillId="5" borderId="14" xfId="0" applyNumberFormat="1" applyFont="1" applyFill="1" applyBorder="1" applyAlignment="1">
      <alignment horizontal="center" vertical="center" shrinkToFit="1"/>
    </xf>
    <xf numFmtId="0" fontId="30" fillId="5" borderId="15" xfId="0" applyNumberFormat="1" applyFont="1" applyFill="1" applyBorder="1" applyAlignment="1">
      <alignment horizontal="center" vertical="center" shrinkToFit="1"/>
    </xf>
    <xf numFmtId="0" fontId="30" fillId="5" borderId="35" xfId="0" applyNumberFormat="1" applyFont="1" applyFill="1" applyBorder="1" applyAlignment="1">
      <alignment horizontal="center" vertical="center" shrinkToFit="1"/>
    </xf>
    <xf numFmtId="0" fontId="30" fillId="5" borderId="31" xfId="0" applyNumberFormat="1" applyFont="1" applyFill="1" applyBorder="1" applyAlignment="1">
      <alignment horizontal="center" vertical="center" shrinkToFit="1"/>
    </xf>
    <xf numFmtId="0" fontId="30" fillId="5" borderId="36" xfId="0" applyNumberFormat="1" applyFont="1" applyFill="1" applyBorder="1" applyAlignment="1">
      <alignment horizontal="center" vertical="center" shrinkToFit="1"/>
    </xf>
    <xf numFmtId="0" fontId="34" fillId="0" borderId="13" xfId="0" applyNumberFormat="1" applyFont="1" applyFill="1" applyBorder="1" applyAlignment="1">
      <alignment horizontal="center" vertical="top" wrapText="1" shrinkToFit="1"/>
    </xf>
    <xf numFmtId="0" fontId="34" fillId="0" borderId="14" xfId="0" applyNumberFormat="1" applyFont="1" applyFill="1" applyBorder="1" applyAlignment="1">
      <alignment horizontal="center" vertical="top" wrapText="1" shrinkToFit="1"/>
    </xf>
    <xf numFmtId="0" fontId="34" fillId="0" borderId="15" xfId="0" applyNumberFormat="1" applyFont="1" applyFill="1" applyBorder="1" applyAlignment="1">
      <alignment horizontal="center" vertical="top" wrapText="1" shrinkToFit="1"/>
    </xf>
    <xf numFmtId="0" fontId="34" fillId="0" borderId="41" xfId="0" applyNumberFormat="1" applyFont="1" applyFill="1" applyBorder="1" applyAlignment="1">
      <alignment horizontal="center" vertical="top" wrapText="1" shrinkToFit="1"/>
    </xf>
    <xf numFmtId="0" fontId="34" fillId="0" borderId="0" xfId="0" applyNumberFormat="1" applyFont="1" applyFill="1" applyBorder="1" applyAlignment="1">
      <alignment horizontal="center" vertical="top" wrapText="1" shrinkToFit="1"/>
    </xf>
    <xf numFmtId="0" fontId="34" fillId="0" borderId="7" xfId="0" applyNumberFormat="1" applyFont="1" applyFill="1" applyBorder="1" applyAlignment="1">
      <alignment horizontal="center" vertical="top" wrapText="1" shrinkToFit="1"/>
    </xf>
    <xf numFmtId="0" fontId="34" fillId="0" borderId="35" xfId="0" applyNumberFormat="1" applyFont="1" applyFill="1" applyBorder="1" applyAlignment="1">
      <alignment horizontal="center" vertical="top" wrapText="1" shrinkToFit="1"/>
    </xf>
    <xf numFmtId="0" fontId="34" fillId="0" borderId="31" xfId="0" applyNumberFormat="1" applyFont="1" applyFill="1" applyBorder="1" applyAlignment="1">
      <alignment horizontal="center" vertical="top" wrapText="1" shrinkToFit="1"/>
    </xf>
    <xf numFmtId="0" fontId="34" fillId="0" borderId="36" xfId="0" applyNumberFormat="1" applyFont="1" applyFill="1" applyBorder="1" applyAlignment="1">
      <alignment horizontal="center" vertical="top" wrapText="1" shrinkToFit="1"/>
    </xf>
    <xf numFmtId="49" fontId="4" fillId="0" borderId="45" xfId="0" applyNumberFormat="1" applyFont="1" applyFill="1" applyBorder="1" applyAlignment="1">
      <alignment horizontal="center" vertical="center" shrinkToFit="1"/>
    </xf>
    <xf numFmtId="49" fontId="4" fillId="0" borderId="110" xfId="0" applyNumberFormat="1" applyFont="1" applyFill="1" applyBorder="1" applyAlignment="1">
      <alignment horizontal="center" vertical="center" shrinkToFit="1"/>
    </xf>
    <xf numFmtId="49" fontId="4" fillId="0" borderId="71" xfId="0" applyNumberFormat="1" applyFont="1" applyFill="1" applyBorder="1" applyAlignment="1">
      <alignment horizontal="center" vertical="center" shrinkToFit="1"/>
    </xf>
    <xf numFmtId="49" fontId="4" fillId="0" borderId="111" xfId="0" applyNumberFormat="1" applyFont="1" applyFill="1" applyBorder="1" applyAlignment="1">
      <alignment horizontal="center" vertical="center" shrinkToFit="1"/>
    </xf>
    <xf numFmtId="49" fontId="4" fillId="0" borderId="47" xfId="0" applyNumberFormat="1" applyFont="1" applyFill="1" applyBorder="1" applyAlignment="1">
      <alignment horizontal="center" vertical="center" shrinkToFit="1"/>
    </xf>
    <xf numFmtId="49" fontId="4" fillId="0" borderId="33" xfId="0" applyNumberFormat="1" applyFont="1" applyFill="1" applyBorder="1" applyAlignment="1">
      <alignment horizontal="center" vertical="center" shrinkToFit="1"/>
    </xf>
    <xf numFmtId="49" fontId="4" fillId="0" borderId="103" xfId="0" applyNumberFormat="1" applyFont="1" applyFill="1" applyBorder="1" applyAlignment="1">
      <alignment horizontal="center" vertical="center" shrinkToFit="1"/>
    </xf>
    <xf numFmtId="0" fontId="27" fillId="6" borderId="29" xfId="0" applyNumberFormat="1" applyFont="1" applyFill="1" applyBorder="1" applyAlignment="1">
      <alignment horizontal="center" vertical="center" wrapText="1" shrinkToFit="1"/>
    </xf>
    <xf numFmtId="0" fontId="27" fillId="6" borderId="14" xfId="0" applyNumberFormat="1" applyFont="1" applyFill="1" applyBorder="1" applyAlignment="1">
      <alignment horizontal="center" vertical="center" wrapText="1" shrinkToFit="1"/>
    </xf>
    <xf numFmtId="0" fontId="27" fillId="6" borderId="58" xfId="0" applyNumberFormat="1" applyFont="1" applyFill="1" applyBorder="1" applyAlignment="1">
      <alignment horizontal="center" vertical="center" wrapText="1" shrinkToFit="1"/>
    </xf>
    <xf numFmtId="0" fontId="27" fillId="6" borderId="31" xfId="0" applyNumberFormat="1" applyFont="1" applyFill="1" applyBorder="1" applyAlignment="1">
      <alignment horizontal="center" vertical="center" wrapText="1" shrinkToFit="1"/>
    </xf>
    <xf numFmtId="0" fontId="8" fillId="0" borderId="120" xfId="0" applyNumberFormat="1" applyFont="1" applyFill="1" applyBorder="1" applyAlignment="1">
      <alignment horizontal="center" vertical="center" wrapText="1" shrinkToFit="1"/>
    </xf>
    <xf numFmtId="0" fontId="8" fillId="0" borderId="121" xfId="0" applyNumberFormat="1" applyFont="1" applyFill="1" applyBorder="1" applyAlignment="1">
      <alignment horizontal="center" vertical="center" wrapText="1" shrinkToFit="1"/>
    </xf>
    <xf numFmtId="49" fontId="38" fillId="9" borderId="121" xfId="0" applyNumberFormat="1" applyFont="1" applyFill="1" applyBorder="1" applyAlignment="1">
      <alignment horizontal="center" vertical="center" shrinkToFit="1"/>
    </xf>
    <xf numFmtId="49" fontId="38" fillId="9" borderId="122" xfId="0" applyNumberFormat="1" applyFont="1" applyFill="1" applyBorder="1" applyAlignment="1">
      <alignment horizontal="center" vertical="center" shrinkToFit="1"/>
    </xf>
    <xf numFmtId="0" fontId="12" fillId="6" borderId="37" xfId="0" applyNumberFormat="1" applyFont="1" applyFill="1" applyBorder="1" applyAlignment="1">
      <alignment horizontal="center" vertical="center" wrapText="1" shrinkToFit="1"/>
    </xf>
    <xf numFmtId="0" fontId="12" fillId="6" borderId="17" xfId="0" applyNumberFormat="1" applyFont="1" applyFill="1" applyBorder="1" applyAlignment="1">
      <alignment horizontal="center" vertical="center" wrapText="1" shrinkToFit="1"/>
    </xf>
    <xf numFmtId="0" fontId="12" fillId="6" borderId="18" xfId="0" applyNumberFormat="1" applyFont="1" applyFill="1" applyBorder="1" applyAlignment="1">
      <alignment horizontal="center" vertical="center" wrapText="1" shrinkToFit="1"/>
    </xf>
    <xf numFmtId="49" fontId="32" fillId="0" borderId="16" xfId="0" applyNumberFormat="1" applyFont="1" applyFill="1" applyBorder="1" applyAlignment="1">
      <alignment horizontal="center" vertical="center" wrapText="1" shrinkToFit="1"/>
    </xf>
    <xf numFmtId="0" fontId="32" fillId="0" borderId="17" xfId="0" applyNumberFormat="1" applyFont="1" applyFill="1" applyBorder="1" applyAlignment="1">
      <alignment horizontal="center" vertical="center" wrapText="1" shrinkToFit="1"/>
    </xf>
    <xf numFmtId="0" fontId="32" fillId="0" borderId="38" xfId="0" applyNumberFormat="1" applyFont="1" applyFill="1" applyBorder="1" applyAlignment="1">
      <alignment horizontal="center" vertical="center" wrapText="1" shrinkToFit="1"/>
    </xf>
    <xf numFmtId="0" fontId="8" fillId="0" borderId="123" xfId="0" applyNumberFormat="1" applyFont="1" applyFill="1" applyBorder="1" applyAlignment="1">
      <alignment horizontal="center" vertical="center" wrapText="1" shrinkToFit="1"/>
    </xf>
    <xf numFmtId="0" fontId="8" fillId="0" borderId="124" xfId="0" applyNumberFormat="1" applyFont="1" applyFill="1" applyBorder="1" applyAlignment="1">
      <alignment horizontal="center" vertical="center" wrapText="1" shrinkToFit="1"/>
    </xf>
    <xf numFmtId="49" fontId="7" fillId="0" borderId="104" xfId="0" applyNumberFormat="1" applyFont="1" applyBorder="1" applyAlignment="1">
      <alignment horizontal="center" vertical="center" shrinkToFit="1"/>
    </xf>
    <xf numFmtId="49" fontId="7" fillId="0" borderId="34" xfId="0" applyNumberFormat="1" applyFont="1" applyBorder="1" applyAlignment="1">
      <alignment horizontal="center" vertical="center" shrinkToFit="1"/>
    </xf>
    <xf numFmtId="49" fontId="7" fillId="0" borderId="103" xfId="0" applyNumberFormat="1" applyFont="1" applyBorder="1" applyAlignment="1">
      <alignment horizontal="center" vertical="center" shrinkToFit="1"/>
    </xf>
    <xf numFmtId="0" fontId="12" fillId="2" borderId="29" xfId="0" applyNumberFormat="1" applyFont="1" applyFill="1" applyBorder="1" applyAlignment="1">
      <alignment horizontal="center" vertical="center" wrapText="1" shrinkToFit="1"/>
    </xf>
    <xf numFmtId="0" fontId="12" fillId="2" borderId="14" xfId="0" applyNumberFormat="1" applyFont="1" applyFill="1" applyBorder="1" applyAlignment="1">
      <alignment horizontal="center" vertical="center" wrapText="1" shrinkToFit="1"/>
    </xf>
    <xf numFmtId="0" fontId="12" fillId="2" borderId="6" xfId="0" applyNumberFormat="1" applyFont="1" applyFill="1" applyBorder="1" applyAlignment="1">
      <alignment horizontal="center" vertical="center" wrapText="1" shrinkToFit="1"/>
    </xf>
    <xf numFmtId="0" fontId="12" fillId="2" borderId="0" xfId="0" applyNumberFormat="1" applyFont="1" applyFill="1" applyBorder="1" applyAlignment="1">
      <alignment horizontal="center" vertical="center" wrapText="1" shrinkToFit="1"/>
    </xf>
    <xf numFmtId="0" fontId="12" fillId="2" borderId="58" xfId="0" applyNumberFormat="1" applyFont="1" applyFill="1" applyBorder="1" applyAlignment="1">
      <alignment horizontal="center" vertical="center" wrapText="1" shrinkToFit="1"/>
    </xf>
    <xf numFmtId="0" fontId="12" fillId="2" borderId="31" xfId="0" applyNumberFormat="1" applyFont="1" applyFill="1" applyBorder="1" applyAlignment="1">
      <alignment horizontal="center" vertical="center" wrapText="1" shrinkToFit="1"/>
    </xf>
    <xf numFmtId="0" fontId="44" fillId="9" borderId="13" xfId="0" applyNumberFormat="1" applyFont="1" applyFill="1" applyBorder="1" applyAlignment="1">
      <alignment horizontal="center" vertical="center" wrapText="1" shrinkToFit="1"/>
    </xf>
    <xf numFmtId="0" fontId="44" fillId="9" borderId="14" xfId="0" applyNumberFormat="1" applyFont="1" applyFill="1" applyBorder="1" applyAlignment="1">
      <alignment horizontal="center" vertical="center" wrapText="1" shrinkToFit="1"/>
    </xf>
    <xf numFmtId="0" fontId="44" fillId="9" borderId="22" xfId="0" applyNumberFormat="1" applyFont="1" applyFill="1" applyBorder="1" applyAlignment="1">
      <alignment horizontal="center" vertical="center" wrapText="1" shrinkToFit="1"/>
    </xf>
    <xf numFmtId="0" fontId="44" fillId="9" borderId="41" xfId="0" applyNumberFormat="1" applyFont="1" applyFill="1" applyBorder="1" applyAlignment="1">
      <alignment horizontal="center" vertical="center" wrapText="1" shrinkToFit="1"/>
    </xf>
    <xf numFmtId="0" fontId="44" fillId="9" borderId="0" xfId="0" applyNumberFormat="1" applyFont="1" applyFill="1" applyBorder="1" applyAlignment="1">
      <alignment horizontal="center" vertical="center" wrapText="1" shrinkToFit="1"/>
    </xf>
    <xf numFmtId="0" fontId="44" fillId="9" borderId="30" xfId="0" applyNumberFormat="1" applyFont="1" applyFill="1" applyBorder="1" applyAlignment="1">
      <alignment horizontal="center" vertical="center" wrapText="1" shrinkToFit="1"/>
    </xf>
    <xf numFmtId="0" fontId="44" fillId="9" borderId="35" xfId="0" applyNumberFormat="1" applyFont="1" applyFill="1" applyBorder="1" applyAlignment="1">
      <alignment horizontal="center" vertical="center" wrapText="1" shrinkToFit="1"/>
    </xf>
    <xf numFmtId="0" fontId="44" fillId="9" borderId="31" xfId="0" applyNumberFormat="1" applyFont="1" applyFill="1" applyBorder="1" applyAlignment="1">
      <alignment horizontal="center" vertical="center" wrapText="1" shrinkToFit="1"/>
    </xf>
    <xf numFmtId="0" fontId="44" fillId="9" borderId="32" xfId="0" applyNumberFormat="1" applyFont="1" applyFill="1" applyBorder="1" applyAlignment="1">
      <alignment horizontal="center" vertical="center" wrapText="1" shrinkToFit="1"/>
    </xf>
    <xf numFmtId="49" fontId="4" fillId="0" borderId="97" xfId="0" applyNumberFormat="1" applyFont="1" applyFill="1" applyBorder="1" applyAlignment="1">
      <alignment horizontal="center" vertical="center" shrinkToFit="1"/>
    </xf>
    <xf numFmtId="49" fontId="4" fillId="0" borderId="98" xfId="0" applyNumberFormat="1" applyFont="1" applyFill="1" applyBorder="1" applyAlignment="1">
      <alignment horizontal="center" vertical="center" shrinkToFit="1"/>
    </xf>
    <xf numFmtId="49" fontId="4" fillId="0" borderId="16" xfId="0" applyNumberFormat="1" applyFont="1" applyFill="1" applyBorder="1" applyAlignment="1">
      <alignment horizontal="center" vertical="center" shrinkToFit="1"/>
    </xf>
    <xf numFmtId="49" fontId="4" fillId="0" borderId="93" xfId="0" applyNumberFormat="1" applyFont="1" applyFill="1" applyBorder="1" applyAlignment="1">
      <alignment horizontal="center" vertical="center" shrinkToFit="1"/>
    </xf>
    <xf numFmtId="179" fontId="12" fillId="0" borderId="17" xfId="0" applyNumberFormat="1" applyFont="1" applyFill="1" applyBorder="1" applyAlignment="1">
      <alignment horizontal="center" vertical="center" shrinkToFit="1"/>
    </xf>
    <xf numFmtId="179" fontId="12" fillId="0" borderId="37" xfId="0" applyNumberFormat="1" applyFont="1" applyFill="1" applyBorder="1" applyAlignment="1">
      <alignment horizontal="center" vertical="center" shrinkToFit="1"/>
    </xf>
    <xf numFmtId="179" fontId="12" fillId="0" borderId="38" xfId="0" applyNumberFormat="1" applyFont="1" applyFill="1" applyBorder="1" applyAlignment="1">
      <alignment horizontal="center" vertical="center" shrinkToFit="1"/>
    </xf>
    <xf numFmtId="179" fontId="12" fillId="0" borderId="58" xfId="0" applyNumberFormat="1" applyFont="1" applyFill="1" applyBorder="1" applyAlignment="1">
      <alignment horizontal="center" vertical="center" shrinkToFit="1"/>
    </xf>
    <xf numFmtId="179" fontId="12" fillId="0" borderId="31" xfId="0" applyNumberFormat="1" applyFont="1" applyFill="1" applyBorder="1" applyAlignment="1">
      <alignment horizontal="center" vertical="center" shrinkToFit="1"/>
    </xf>
    <xf numFmtId="179" fontId="12" fillId="0" borderId="36" xfId="0" applyNumberFormat="1" applyFont="1" applyFill="1" applyBorder="1" applyAlignment="1">
      <alignment horizontal="center" vertical="center" shrinkToFit="1"/>
    </xf>
    <xf numFmtId="0" fontId="8" fillId="0" borderId="29" xfId="0" applyNumberFormat="1" applyFont="1" applyFill="1" applyBorder="1" applyAlignment="1">
      <alignment horizontal="center" vertical="center" wrapText="1" shrinkToFit="1"/>
    </xf>
    <xf numFmtId="0" fontId="8" fillId="0" borderId="14" xfId="0" applyNumberFormat="1" applyFont="1" applyFill="1" applyBorder="1" applyAlignment="1">
      <alignment horizontal="center" vertical="center" wrapText="1" shrinkToFit="1"/>
    </xf>
    <xf numFmtId="0" fontId="8" fillId="0" borderId="58" xfId="0" applyNumberFormat="1" applyFont="1" applyFill="1" applyBorder="1" applyAlignment="1">
      <alignment horizontal="center" vertical="center" wrapText="1" shrinkToFit="1"/>
    </xf>
    <xf numFmtId="0" fontId="8" fillId="0" borderId="31" xfId="0" applyNumberFormat="1" applyFont="1" applyFill="1" applyBorder="1" applyAlignment="1">
      <alignment horizontal="center" vertical="center" wrapText="1" shrinkToFit="1"/>
    </xf>
    <xf numFmtId="0" fontId="4" fillId="0" borderId="16" xfId="0" applyNumberFormat="1" applyFont="1" applyFill="1" applyBorder="1" applyAlignment="1">
      <alignment horizontal="center" vertical="center" wrapText="1" shrinkToFit="1"/>
    </xf>
    <xf numFmtId="0" fontId="4" fillId="0" borderId="17" xfId="0" applyNumberFormat="1" applyFont="1" applyFill="1" applyBorder="1" applyAlignment="1">
      <alignment horizontal="center" vertical="center" wrapText="1" shrinkToFit="1"/>
    </xf>
    <xf numFmtId="49" fontId="11" fillId="0" borderId="62" xfId="0" applyNumberFormat="1" applyFont="1" applyFill="1" applyBorder="1" applyAlignment="1">
      <alignment horizontal="center" vertical="center" wrapText="1" shrinkToFit="1"/>
    </xf>
    <xf numFmtId="0" fontId="11" fillId="0" borderId="17" xfId="0" applyNumberFormat="1" applyFont="1" applyFill="1" applyBorder="1" applyAlignment="1">
      <alignment horizontal="center" vertical="center" wrapText="1" shrinkToFit="1"/>
    </xf>
    <xf numFmtId="0" fontId="12" fillId="6" borderId="0" xfId="0" applyNumberFormat="1" applyFont="1" applyFill="1" applyBorder="1" applyAlignment="1">
      <alignment horizontal="center" vertical="center" wrapText="1" shrinkToFit="1"/>
    </xf>
    <xf numFmtId="0" fontId="12" fillId="6" borderId="58" xfId="0" applyNumberFormat="1" applyFont="1" applyFill="1" applyBorder="1" applyAlignment="1">
      <alignment horizontal="center" vertical="center" wrapText="1" shrinkToFit="1"/>
    </xf>
    <xf numFmtId="0" fontId="12" fillId="6" borderId="31" xfId="0" applyNumberFormat="1" applyFont="1" applyFill="1" applyBorder="1" applyAlignment="1">
      <alignment horizontal="center" vertical="center" wrapText="1" shrinkToFit="1"/>
    </xf>
    <xf numFmtId="49" fontId="25" fillId="4" borderId="0" xfId="0" applyNumberFormat="1" applyFont="1" applyFill="1" applyBorder="1" applyAlignment="1">
      <alignment horizontal="center" vertical="center" wrapText="1" shrinkToFit="1"/>
    </xf>
    <xf numFmtId="49" fontId="25" fillId="4" borderId="31" xfId="0" applyNumberFormat="1" applyFont="1" applyFill="1" applyBorder="1" applyAlignment="1">
      <alignment horizontal="center" vertical="center" wrapText="1" shrinkToFit="1"/>
    </xf>
    <xf numFmtId="0" fontId="4" fillId="0" borderId="35" xfId="0" applyNumberFormat="1" applyFont="1" applyFill="1" applyBorder="1" applyAlignment="1">
      <alignment horizontal="center" vertical="center" shrinkToFit="1"/>
    </xf>
    <xf numFmtId="0" fontId="4" fillId="0" borderId="64" xfId="0" applyNumberFormat="1" applyFont="1" applyFill="1" applyBorder="1" applyAlignment="1">
      <alignment horizontal="center" vertical="center" shrinkToFit="1"/>
    </xf>
    <xf numFmtId="49" fontId="7" fillId="0" borderId="13" xfId="0" applyNumberFormat="1" applyFont="1" applyFill="1" applyBorder="1" applyAlignment="1">
      <alignment horizontal="center" vertical="center" shrinkToFit="1"/>
    </xf>
    <xf numFmtId="49" fontId="7" fillId="0" borderId="14" xfId="0" applyNumberFormat="1" applyFont="1" applyFill="1" applyBorder="1" applyAlignment="1">
      <alignment horizontal="center" vertical="center" shrinkToFit="1"/>
    </xf>
    <xf numFmtId="49" fontId="7" fillId="0" borderId="63" xfId="0" applyNumberFormat="1" applyFont="1" applyFill="1" applyBorder="1" applyAlignment="1">
      <alignment horizontal="center" vertical="center" shrinkToFit="1"/>
    </xf>
    <xf numFmtId="0" fontId="4" fillId="0" borderId="37" xfId="0" applyNumberFormat="1" applyFont="1" applyFill="1" applyBorder="1" applyAlignment="1">
      <alignment horizontal="center" vertical="center" wrapText="1" shrinkToFit="1"/>
    </xf>
    <xf numFmtId="49" fontId="4" fillId="0" borderId="35" xfId="0" applyNumberFormat="1" applyFont="1" applyFill="1" applyBorder="1" applyAlignment="1">
      <alignment horizontal="center" vertical="top" shrinkToFit="1"/>
    </xf>
    <xf numFmtId="49" fontId="4" fillId="0" borderId="31" xfId="0" applyNumberFormat="1" applyFont="1" applyFill="1" applyBorder="1" applyAlignment="1">
      <alignment horizontal="center" vertical="top" shrinkToFit="1"/>
    </xf>
    <xf numFmtId="49" fontId="4" fillId="0" borderId="64" xfId="0" applyNumberFormat="1" applyFont="1" applyFill="1" applyBorder="1" applyAlignment="1">
      <alignment horizontal="center" vertical="top" shrinkToFit="1"/>
    </xf>
    <xf numFmtId="0" fontId="12" fillId="0" borderId="39" xfId="0" applyNumberFormat="1" applyFont="1" applyFill="1" applyBorder="1" applyAlignment="1">
      <alignment horizontal="center" vertical="center" shrinkToFit="1"/>
    </xf>
    <xf numFmtId="0" fontId="4" fillId="0" borderId="40" xfId="0" applyNumberFormat="1" applyFont="1" applyFill="1" applyBorder="1" applyAlignment="1">
      <alignment horizontal="center" vertical="center" shrinkToFit="1"/>
    </xf>
    <xf numFmtId="0" fontId="4" fillId="0" borderId="150" xfId="0" applyNumberFormat="1" applyFont="1" applyFill="1" applyBorder="1" applyAlignment="1">
      <alignment horizontal="center" vertical="center" shrinkToFit="1"/>
    </xf>
    <xf numFmtId="0" fontId="12" fillId="0" borderId="48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13" fillId="0" borderId="58" xfId="0" applyNumberFormat="1" applyFont="1" applyBorder="1" applyAlignment="1">
      <alignment horizontal="center" vertical="center" shrinkToFit="1"/>
    </xf>
    <xf numFmtId="0" fontId="13" fillId="0" borderId="31" xfId="0" applyNumberFormat="1" applyFont="1" applyBorder="1" applyAlignment="1">
      <alignment horizontal="center" vertical="center" shrinkToFit="1"/>
    </xf>
    <xf numFmtId="0" fontId="13" fillId="0" borderId="36" xfId="0" applyNumberFormat="1" applyFont="1" applyBorder="1" applyAlignment="1">
      <alignment horizontal="center" vertical="center" shrinkToFit="1"/>
    </xf>
    <xf numFmtId="0" fontId="12" fillId="0" borderId="39" xfId="0" applyNumberFormat="1" applyFont="1" applyBorder="1" applyAlignment="1">
      <alignment horizontal="center" vertical="center" shrinkToFit="1"/>
    </xf>
    <xf numFmtId="0" fontId="12" fillId="0" borderId="40" xfId="0" applyNumberFormat="1" applyFont="1" applyBorder="1" applyAlignment="1">
      <alignment horizontal="center" vertical="center" shrinkToFit="1"/>
    </xf>
    <xf numFmtId="0" fontId="9" fillId="2" borderId="38" xfId="0" applyNumberFormat="1" applyFont="1" applyFill="1" applyBorder="1" applyAlignment="1">
      <alignment horizontal="center" vertical="center" shrinkToFit="1"/>
    </xf>
    <xf numFmtId="0" fontId="12" fillId="9" borderId="4" xfId="0" applyNumberFormat="1" applyFont="1" applyFill="1" applyBorder="1" applyAlignment="1">
      <alignment horizontal="center" vertical="center" wrapText="1" shrinkToFit="1"/>
    </xf>
    <xf numFmtId="0" fontId="12" fillId="9" borderId="2" xfId="0" applyNumberFormat="1" applyFont="1" applyFill="1" applyBorder="1" applyAlignment="1">
      <alignment horizontal="center" vertical="center" wrapText="1" shrinkToFit="1"/>
    </xf>
    <xf numFmtId="0" fontId="12" fillId="9" borderId="5" xfId="0" applyNumberFormat="1" applyFont="1" applyFill="1" applyBorder="1" applyAlignment="1">
      <alignment horizontal="center" vertical="center" wrapText="1" shrinkToFit="1"/>
    </xf>
    <xf numFmtId="0" fontId="12" fillId="9" borderId="8" xfId="0" applyNumberFormat="1" applyFont="1" applyFill="1" applyBorder="1" applyAlignment="1">
      <alignment horizontal="center" vertical="center" wrapText="1" shrinkToFit="1"/>
    </xf>
    <xf numFmtId="0" fontId="12" fillId="9" borderId="40" xfId="0" applyNumberFormat="1" applyFont="1" applyFill="1" applyBorder="1" applyAlignment="1">
      <alignment horizontal="center" vertical="center" wrapText="1" shrinkToFit="1"/>
    </xf>
    <xf numFmtId="0" fontId="12" fillId="9" borderId="9" xfId="0" applyNumberFormat="1" applyFont="1" applyFill="1" applyBorder="1" applyAlignment="1">
      <alignment horizontal="center" vertical="center" wrapText="1" shrinkToFit="1"/>
    </xf>
    <xf numFmtId="0" fontId="10" fillId="0" borderId="117" xfId="0" applyFont="1" applyFill="1" applyBorder="1" applyAlignment="1">
      <alignment horizontal="center" vertical="center" wrapText="1"/>
    </xf>
    <xf numFmtId="0" fontId="4" fillId="0" borderId="116" xfId="0" applyFont="1" applyFill="1" applyBorder="1" applyAlignment="1">
      <alignment horizontal="center" vertical="center" wrapText="1"/>
    </xf>
    <xf numFmtId="0" fontId="4" fillId="0" borderId="115" xfId="0" applyFont="1" applyFill="1" applyBorder="1" applyAlignment="1">
      <alignment horizontal="center" vertical="center" wrapText="1"/>
    </xf>
    <xf numFmtId="0" fontId="12" fillId="9" borderId="25" xfId="0" applyNumberFormat="1" applyFont="1" applyFill="1" applyBorder="1" applyAlignment="1">
      <alignment horizontal="center" vertical="center" shrinkToFit="1"/>
    </xf>
    <xf numFmtId="0" fontId="12" fillId="0" borderId="6" xfId="0" quotePrefix="1" applyNumberFormat="1" applyFont="1" applyFill="1" applyBorder="1" applyAlignment="1">
      <alignment horizontal="center" vertical="center" shrinkToFit="1"/>
    </xf>
    <xf numFmtId="0" fontId="9" fillId="8" borderId="6" xfId="0" applyNumberFormat="1" applyFont="1" applyFill="1" applyBorder="1" applyAlignment="1">
      <alignment horizontal="center" vertical="center" wrapText="1" shrinkToFit="1"/>
    </xf>
    <xf numFmtId="0" fontId="9" fillId="8" borderId="0" xfId="0" applyNumberFormat="1" applyFont="1" applyFill="1" applyBorder="1" applyAlignment="1">
      <alignment horizontal="center" vertical="center" wrapText="1" shrinkToFit="1"/>
    </xf>
    <xf numFmtId="0" fontId="4" fillId="0" borderId="11" xfId="0" applyNumberFormat="1" applyFont="1" applyFill="1" applyBorder="1" applyAlignment="1">
      <alignment horizontal="center" vertical="center" shrinkToFit="1"/>
    </xf>
    <xf numFmtId="0" fontId="4" fillId="0" borderId="12" xfId="0" applyNumberFormat="1" applyFont="1" applyFill="1" applyBorder="1" applyAlignment="1">
      <alignment horizontal="center" vertical="center" shrinkToFit="1"/>
    </xf>
    <xf numFmtId="0" fontId="11" fillId="0" borderId="12" xfId="0" applyNumberFormat="1" applyFont="1" applyFill="1" applyBorder="1" applyAlignment="1">
      <alignment horizontal="center" vertical="center" shrinkToFit="1"/>
    </xf>
    <xf numFmtId="0" fontId="11" fillId="0" borderId="19" xfId="0" applyNumberFormat="1" applyFont="1" applyFill="1" applyBorder="1" applyAlignment="1">
      <alignment horizontal="center" vertical="center" shrinkToFit="1"/>
    </xf>
    <xf numFmtId="0" fontId="8" fillId="0" borderId="89" xfId="0" applyNumberFormat="1" applyFont="1" applyFill="1" applyBorder="1" applyAlignment="1">
      <alignment horizontal="center" vertical="center" wrapText="1" shrinkToFit="1"/>
    </xf>
    <xf numFmtId="0" fontId="4" fillId="0" borderId="114" xfId="0" applyFont="1" applyFill="1" applyBorder="1" applyAlignment="1">
      <alignment horizontal="center" vertical="center" shrinkToFit="1"/>
    </xf>
    <xf numFmtId="10" fontId="12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vertical="center" shrinkToFit="1"/>
    </xf>
    <xf numFmtId="0" fontId="10" fillId="0" borderId="130" xfId="0" applyFont="1" applyBorder="1" applyAlignment="1">
      <alignment horizontal="center" vertical="center" shrinkToFit="1"/>
    </xf>
    <xf numFmtId="0" fontId="18" fillId="0" borderId="2" xfId="0" applyNumberFormat="1" applyFont="1" applyFill="1" applyBorder="1" applyAlignment="1">
      <alignment horizontal="left" vertical="top" wrapText="1" shrinkToFit="1"/>
    </xf>
    <xf numFmtId="0" fontId="20" fillId="0" borderId="2" xfId="1" applyFont="1" applyBorder="1" applyAlignment="1">
      <alignment horizontal="center" vertical="center"/>
    </xf>
    <xf numFmtId="0" fontId="12" fillId="0" borderId="95" xfId="0" applyNumberFormat="1" applyFont="1" applyFill="1" applyBorder="1" applyAlignment="1">
      <alignment horizontal="center" vertical="center" shrinkToFit="1"/>
    </xf>
    <xf numFmtId="0" fontId="12" fillId="0" borderId="89" xfId="0" applyNumberFormat="1" applyFont="1" applyFill="1" applyBorder="1" applyAlignment="1">
      <alignment horizontal="center" vertical="center" shrinkToFit="1"/>
    </xf>
    <xf numFmtId="0" fontId="12" fillId="0" borderId="89" xfId="0" applyNumberFormat="1" applyFont="1" applyFill="1" applyBorder="1" applyAlignment="1">
      <alignment horizontal="center" vertical="center" wrapText="1" shrinkToFit="1"/>
    </xf>
    <xf numFmtId="0" fontId="12" fillId="0" borderId="99" xfId="0" applyNumberFormat="1" applyFont="1" applyFill="1" applyBorder="1" applyAlignment="1">
      <alignment horizontal="center" vertical="center" wrapText="1" shrinkToFit="1"/>
    </xf>
    <xf numFmtId="0" fontId="20" fillId="0" borderId="2" xfId="1" applyFont="1" applyBorder="1" applyAlignment="1">
      <alignment horizontal="right" vertical="center"/>
    </xf>
    <xf numFmtId="0" fontId="30" fillId="5" borderId="13" xfId="0" applyNumberFormat="1" applyFont="1" applyFill="1" applyBorder="1" applyAlignment="1">
      <alignment horizontal="center" vertical="center" shrinkToFit="1"/>
    </xf>
    <xf numFmtId="0" fontId="16" fillId="0" borderId="13" xfId="0" applyNumberFormat="1" applyFont="1" applyFill="1" applyBorder="1" applyAlignment="1">
      <alignment horizontal="center" vertical="top" wrapText="1" shrinkToFit="1"/>
    </xf>
    <xf numFmtId="0" fontId="16" fillId="0" borderId="14" xfId="0" applyNumberFormat="1" applyFont="1" applyFill="1" applyBorder="1" applyAlignment="1">
      <alignment horizontal="center" vertical="top" wrapText="1" shrinkToFit="1"/>
    </xf>
    <xf numFmtId="0" fontId="16" fillId="0" borderId="15" xfId="0" applyNumberFormat="1" applyFont="1" applyFill="1" applyBorder="1" applyAlignment="1">
      <alignment horizontal="center" vertical="top" wrapText="1" shrinkToFit="1"/>
    </xf>
    <xf numFmtId="0" fontId="16" fillId="0" borderId="41" xfId="0" applyNumberFormat="1" applyFont="1" applyFill="1" applyBorder="1" applyAlignment="1">
      <alignment horizontal="center" vertical="top" wrapText="1" shrinkToFit="1"/>
    </xf>
    <xf numFmtId="0" fontId="16" fillId="0" borderId="0" xfId="0" applyNumberFormat="1" applyFont="1" applyFill="1" applyBorder="1" applyAlignment="1">
      <alignment horizontal="center" vertical="top" wrapText="1" shrinkToFit="1"/>
    </xf>
    <xf numFmtId="0" fontId="16" fillId="0" borderId="7" xfId="0" applyNumberFormat="1" applyFont="1" applyFill="1" applyBorder="1" applyAlignment="1">
      <alignment horizontal="center" vertical="top" wrapText="1" shrinkToFit="1"/>
    </xf>
    <xf numFmtId="0" fontId="16" fillId="0" borderId="35" xfId="0" applyNumberFormat="1" applyFont="1" applyFill="1" applyBorder="1" applyAlignment="1">
      <alignment horizontal="center" vertical="top" wrapText="1" shrinkToFit="1"/>
    </xf>
    <xf numFmtId="0" fontId="16" fillId="0" borderId="31" xfId="0" applyNumberFormat="1" applyFont="1" applyFill="1" applyBorder="1" applyAlignment="1">
      <alignment horizontal="center" vertical="top" wrapText="1" shrinkToFit="1"/>
    </xf>
    <xf numFmtId="0" fontId="16" fillId="0" borderId="36" xfId="0" applyNumberFormat="1" applyFont="1" applyFill="1" applyBorder="1" applyAlignment="1">
      <alignment horizontal="center" vertical="top" wrapText="1" shrinkToFit="1"/>
    </xf>
    <xf numFmtId="0" fontId="12" fillId="0" borderId="56" xfId="0" applyNumberFormat="1" applyFont="1" applyFill="1" applyBorder="1" applyAlignment="1">
      <alignment horizontal="center" vertical="center" shrinkToFit="1"/>
    </xf>
    <xf numFmtId="0" fontId="13" fillId="0" borderId="0" xfId="0" applyNumberFormat="1" applyFont="1" applyBorder="1" applyAlignment="1">
      <alignment horizontal="center" vertical="center" shrinkToFit="1"/>
    </xf>
    <xf numFmtId="0" fontId="13" fillId="0" borderId="7" xfId="0" applyNumberFormat="1" applyFont="1" applyBorder="1" applyAlignment="1">
      <alignment horizontal="center" vertical="center" shrinkToFit="1"/>
    </xf>
    <xf numFmtId="0" fontId="4" fillId="0" borderId="135" xfId="0" applyNumberFormat="1" applyFont="1" applyFill="1" applyBorder="1" applyAlignment="1">
      <alignment horizontal="center" vertical="center" shrinkToFit="1"/>
    </xf>
    <xf numFmtId="0" fontId="4" fillId="0" borderId="136" xfId="0" applyNumberFormat="1" applyFont="1" applyFill="1" applyBorder="1" applyAlignment="1">
      <alignment horizontal="center" vertical="center" shrinkToFit="1"/>
    </xf>
    <xf numFmtId="0" fontId="4" fillId="0" borderId="137" xfId="0" applyNumberFormat="1" applyFont="1" applyFill="1" applyBorder="1" applyAlignment="1">
      <alignment horizontal="center" vertical="center" shrinkToFit="1"/>
    </xf>
    <xf numFmtId="0" fontId="32" fillId="0" borderId="6" xfId="0" applyNumberFormat="1" applyFont="1" applyFill="1" applyBorder="1" applyAlignment="1">
      <alignment horizontal="center" vertical="center" shrinkToFit="1"/>
    </xf>
    <xf numFmtId="0" fontId="32" fillId="0" borderId="0" xfId="0" applyNumberFormat="1" applyFont="1" applyFill="1" applyBorder="1" applyAlignment="1">
      <alignment horizontal="center" vertical="center" shrinkToFit="1"/>
    </xf>
    <xf numFmtId="0" fontId="32" fillId="0" borderId="7" xfId="0" applyNumberFormat="1" applyFont="1" applyFill="1" applyBorder="1" applyAlignment="1">
      <alignment horizontal="center" vertical="center" shrinkToFit="1"/>
    </xf>
    <xf numFmtId="0" fontId="13" fillId="0" borderId="1" xfId="0" applyNumberFormat="1" applyFont="1" applyBorder="1" applyAlignment="1">
      <alignment horizontal="center" vertical="center" shrinkToFit="1"/>
    </xf>
    <xf numFmtId="0" fontId="13" fillId="0" borderId="2" xfId="0" applyNumberFormat="1" applyFont="1" applyBorder="1" applyAlignment="1">
      <alignment horizontal="center" vertical="center" shrinkToFit="1"/>
    </xf>
    <xf numFmtId="0" fontId="13" fillId="0" borderId="3" xfId="0" applyNumberFormat="1" applyFont="1" applyBorder="1" applyAlignment="1">
      <alignment horizontal="center" vertical="center" shrinkToFit="1"/>
    </xf>
    <xf numFmtId="0" fontId="13" fillId="0" borderId="6" xfId="0" applyNumberFormat="1" applyFont="1" applyBorder="1" applyAlignment="1">
      <alignment horizontal="center" vertical="center" shrinkToFit="1"/>
    </xf>
    <xf numFmtId="0" fontId="13" fillId="0" borderId="39" xfId="0" applyNumberFormat="1" applyFont="1" applyBorder="1" applyAlignment="1">
      <alignment horizontal="center" vertical="center" shrinkToFit="1"/>
    </xf>
    <xf numFmtId="0" fontId="13" fillId="0" borderId="40" xfId="0" applyNumberFormat="1" applyFont="1" applyBorder="1" applyAlignment="1">
      <alignment horizontal="center" vertical="center" shrinkToFit="1"/>
    </xf>
    <xf numFmtId="0" fontId="13" fillId="0" borderId="10" xfId="0" applyNumberFormat="1" applyFont="1" applyBorder="1" applyAlignment="1">
      <alignment horizontal="center" vertical="center" shrinkToFit="1"/>
    </xf>
    <xf numFmtId="0" fontId="7" fillId="0" borderId="13" xfId="0" applyNumberFormat="1" applyFont="1" applyBorder="1" applyAlignment="1">
      <alignment horizontal="center" vertical="center" shrinkToFit="1"/>
    </xf>
    <xf numFmtId="0" fontId="7" fillId="0" borderId="22" xfId="0" applyNumberFormat="1" applyFont="1" applyBorder="1" applyAlignment="1">
      <alignment horizontal="center" vertical="center" shrinkToFit="1"/>
    </xf>
    <xf numFmtId="0" fontId="7" fillId="0" borderId="35" xfId="0" applyNumberFormat="1" applyFont="1" applyBorder="1" applyAlignment="1">
      <alignment horizontal="center" vertical="center" shrinkToFit="1"/>
    </xf>
    <xf numFmtId="0" fontId="7" fillId="0" borderId="32" xfId="0" applyNumberFormat="1" applyFont="1" applyBorder="1" applyAlignment="1">
      <alignment horizontal="center" vertical="center" shrinkToFit="1"/>
    </xf>
    <xf numFmtId="0" fontId="10" fillId="0" borderId="13" xfId="0" applyNumberFormat="1" applyFont="1" applyBorder="1" applyAlignment="1">
      <alignment horizontal="center" vertical="center" shrinkToFit="1"/>
    </xf>
    <xf numFmtId="0" fontId="10" fillId="0" borderId="14" xfId="0" applyNumberFormat="1" applyFont="1" applyBorder="1" applyAlignment="1">
      <alignment horizontal="center" vertical="center" shrinkToFit="1"/>
    </xf>
    <xf numFmtId="0" fontId="10" fillId="0" borderId="15" xfId="0" applyNumberFormat="1" applyFont="1" applyBorder="1" applyAlignment="1">
      <alignment horizontal="center" vertical="center" shrinkToFit="1"/>
    </xf>
    <xf numFmtId="0" fontId="10" fillId="0" borderId="35" xfId="0" applyNumberFormat="1" applyFont="1" applyBorder="1" applyAlignment="1">
      <alignment horizontal="center" vertical="center" shrinkToFit="1"/>
    </xf>
    <xf numFmtId="0" fontId="10" fillId="0" borderId="31" xfId="0" applyNumberFormat="1" applyFont="1" applyBorder="1" applyAlignment="1">
      <alignment horizontal="center" vertical="center" shrinkToFit="1"/>
    </xf>
    <xf numFmtId="0" fontId="10" fillId="0" borderId="36" xfId="0" applyNumberFormat="1" applyFont="1" applyBorder="1" applyAlignment="1">
      <alignment horizontal="center" vertical="center" shrinkToFit="1"/>
    </xf>
    <xf numFmtId="0" fontId="4" fillId="0" borderId="119" xfId="0" applyFont="1" applyFill="1" applyBorder="1" applyAlignment="1">
      <alignment horizontal="center" vertical="center" shrinkToFit="1"/>
    </xf>
    <xf numFmtId="0" fontId="0" fillId="0" borderId="118" xfId="0" applyBorder="1">
      <alignment vertical="center"/>
    </xf>
    <xf numFmtId="0" fontId="8" fillId="0" borderId="89" xfId="0" applyFont="1" applyFill="1" applyBorder="1" applyAlignment="1">
      <alignment horizontal="center" vertical="center" wrapText="1" shrinkToFit="1"/>
    </xf>
    <xf numFmtId="0" fontId="4" fillId="0" borderId="36" xfId="0" applyNumberFormat="1" applyFont="1" applyFill="1" applyBorder="1" applyAlignment="1">
      <alignment horizontal="center" vertical="center" shrinkToFit="1"/>
    </xf>
    <xf numFmtId="49" fontId="4" fillId="0" borderId="131" xfId="0" applyNumberFormat="1" applyFont="1" applyFill="1" applyBorder="1" applyAlignment="1">
      <alignment horizontal="center" vertical="center" wrapText="1" shrinkToFit="1"/>
    </xf>
    <xf numFmtId="49" fontId="4" fillId="0" borderId="22" xfId="0" applyNumberFormat="1" applyFont="1" applyFill="1" applyBorder="1" applyAlignment="1">
      <alignment horizontal="center" vertical="center" wrapText="1" shrinkToFit="1"/>
    </xf>
    <xf numFmtId="49" fontId="4" fillId="0" borderId="32" xfId="0" applyNumberFormat="1" applyFont="1" applyFill="1" applyBorder="1" applyAlignment="1">
      <alignment horizontal="center" vertical="center" wrapText="1" shrinkToFit="1"/>
    </xf>
    <xf numFmtId="0" fontId="9" fillId="2" borderId="1" xfId="0" applyFont="1" applyFill="1" applyBorder="1" applyAlignment="1">
      <alignment horizontal="center" vertical="center" wrapText="1" shrinkToFit="1"/>
    </xf>
    <xf numFmtId="0" fontId="9" fillId="2" borderId="2" xfId="0" applyFont="1" applyFill="1" applyBorder="1" applyAlignment="1">
      <alignment horizontal="center" vertical="center" wrapText="1" shrinkToFit="1"/>
    </xf>
    <xf numFmtId="0" fontId="9" fillId="2" borderId="6" xfId="0" applyFont="1" applyFill="1" applyBorder="1" applyAlignment="1">
      <alignment horizontal="center" vertical="center" wrapText="1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9" fillId="2" borderId="39" xfId="0" applyFont="1" applyFill="1" applyBorder="1" applyAlignment="1">
      <alignment horizontal="center" vertical="center" wrapText="1" shrinkToFit="1"/>
    </xf>
    <xf numFmtId="0" fontId="9" fillId="2" borderId="40" xfId="0" applyFont="1" applyFill="1" applyBorder="1" applyAlignment="1">
      <alignment horizontal="center" vertical="center" wrapText="1" shrinkToFit="1"/>
    </xf>
    <xf numFmtId="49" fontId="4" fillId="0" borderId="15" xfId="0" applyNumberFormat="1" applyFont="1" applyFill="1" applyBorder="1" applyAlignment="1">
      <alignment horizontal="center" vertical="center" wrapText="1" shrinkToFit="1"/>
    </xf>
    <xf numFmtId="49" fontId="4" fillId="0" borderId="36" xfId="0" applyNumberFormat="1" applyFont="1" applyFill="1" applyBorder="1" applyAlignment="1">
      <alignment horizontal="center" vertical="center" wrapText="1" shrinkToFit="1"/>
    </xf>
    <xf numFmtId="0" fontId="12" fillId="0" borderId="1" xfId="0" applyNumberFormat="1" applyFont="1" applyFill="1" applyBorder="1" applyAlignment="1">
      <alignment horizontal="center" vertical="center" shrinkToFit="1"/>
    </xf>
    <xf numFmtId="0" fontId="12" fillId="0" borderId="3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4" fillId="0" borderId="41" xfId="0" applyFont="1" applyFill="1" applyBorder="1" applyAlignment="1">
      <alignment horizontal="center" vertical="center" wrapText="1" shrinkToFit="1"/>
    </xf>
    <xf numFmtId="0" fontId="4" fillId="0" borderId="30" xfId="0" applyFont="1" applyFill="1" applyBorder="1" applyAlignment="1">
      <alignment horizontal="center" vertical="center" wrapText="1" shrinkToFit="1"/>
    </xf>
    <xf numFmtId="0" fontId="2" fillId="0" borderId="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left" vertical="center" shrinkToFit="1"/>
    </xf>
    <xf numFmtId="0" fontId="4" fillId="0" borderId="31" xfId="0" applyFont="1" applyFill="1" applyBorder="1" applyAlignment="1">
      <alignment horizontal="left" vertical="center" shrinkToFit="1"/>
    </xf>
    <xf numFmtId="0" fontId="4" fillId="0" borderId="17" xfId="0" applyFont="1" applyFill="1" applyBorder="1" applyAlignment="1">
      <alignment horizontal="left" vertical="center" shrinkToFit="1"/>
    </xf>
    <xf numFmtId="0" fontId="4" fillId="0" borderId="18" xfId="0" applyFont="1" applyFill="1" applyBorder="1" applyAlignment="1">
      <alignment horizontal="left" vertical="center" shrinkToFit="1"/>
    </xf>
    <xf numFmtId="176" fontId="36" fillId="2" borderId="16" xfId="0" applyNumberFormat="1" applyFont="1" applyFill="1" applyBorder="1" applyAlignment="1">
      <alignment horizontal="center" vertical="center" shrinkToFit="1"/>
    </xf>
    <xf numFmtId="176" fontId="36" fillId="2" borderId="17" xfId="0" applyNumberFormat="1" applyFont="1" applyFill="1" applyBorder="1" applyAlignment="1">
      <alignment horizontal="center" vertical="center" shrinkToFit="1"/>
    </xf>
    <xf numFmtId="176" fontId="36" fillId="2" borderId="38" xfId="0" applyNumberFormat="1" applyFont="1" applyFill="1" applyBorder="1" applyAlignment="1">
      <alignment horizontal="center" vertical="center" shrinkToFit="1"/>
    </xf>
    <xf numFmtId="0" fontId="4" fillId="0" borderId="6" xfId="0" quotePrefix="1" applyNumberFormat="1" applyFont="1" applyFill="1" applyBorder="1" applyAlignment="1">
      <alignment horizontal="center" vertical="center" shrinkToFit="1"/>
    </xf>
    <xf numFmtId="0" fontId="2" fillId="0" borderId="58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12" fillId="9" borderId="129" xfId="0" applyFont="1" applyFill="1" applyBorder="1" applyAlignment="1">
      <alignment horizontal="center" vertical="center" wrapText="1"/>
    </xf>
    <xf numFmtId="0" fontId="12" fillId="9" borderId="118" xfId="0" applyFont="1" applyFill="1" applyBorder="1" applyAlignment="1">
      <alignment horizontal="center" vertical="center"/>
    </xf>
    <xf numFmtId="0" fontId="41" fillId="0" borderId="4" xfId="0" applyFont="1" applyFill="1" applyBorder="1" applyAlignment="1">
      <alignment horizontal="center" vertical="center"/>
    </xf>
    <xf numFmtId="0" fontId="41" fillId="0" borderId="5" xfId="0" applyFont="1" applyFill="1" applyBorder="1" applyAlignment="1">
      <alignment horizontal="center" vertical="center"/>
    </xf>
    <xf numFmtId="0" fontId="41" fillId="0" borderId="35" xfId="0" applyFont="1" applyFill="1" applyBorder="1" applyAlignment="1">
      <alignment horizontal="center" vertical="center"/>
    </xf>
    <xf numFmtId="0" fontId="41" fillId="0" borderId="32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12" fillId="0" borderId="26" xfId="0" applyNumberFormat="1" applyFont="1" applyFill="1" applyBorder="1" applyAlignment="1">
      <alignment horizontal="center" vertical="center" shrinkToFit="1"/>
    </xf>
    <xf numFmtId="0" fontId="12" fillId="9" borderId="11" xfId="0" applyNumberFormat="1" applyFont="1" applyFill="1" applyBorder="1" applyAlignment="1">
      <alignment horizontal="center" vertical="center" shrinkToFit="1"/>
    </xf>
    <xf numFmtId="0" fontId="12" fillId="9" borderId="12" xfId="0" applyNumberFormat="1" applyFont="1" applyFill="1" applyBorder="1" applyAlignment="1">
      <alignment horizontal="center" vertical="center" shrinkToFit="1"/>
    </xf>
    <xf numFmtId="0" fontId="12" fillId="9" borderId="21" xfId="0" applyNumberFormat="1" applyFont="1" applyFill="1" applyBorder="1" applyAlignment="1">
      <alignment horizontal="center" vertical="center" shrinkToFit="1"/>
    </xf>
    <xf numFmtId="0" fontId="12" fillId="0" borderId="25" xfId="0" applyNumberFormat="1" applyFont="1" applyFill="1" applyBorder="1" applyAlignment="1">
      <alignment horizontal="center" vertical="center" wrapText="1" shrinkToFit="1"/>
    </xf>
    <xf numFmtId="0" fontId="12" fillId="0" borderId="27" xfId="0" applyNumberFormat="1" applyFont="1" applyFill="1" applyBorder="1" applyAlignment="1">
      <alignment horizontal="center" vertical="center" wrapText="1" shrinkToFit="1"/>
    </xf>
    <xf numFmtId="0" fontId="12" fillId="0" borderId="133" xfId="0" applyNumberFormat="1" applyFont="1" applyFill="1" applyBorder="1" applyAlignment="1">
      <alignment horizontal="center" vertical="center" wrapText="1" shrinkToFit="1"/>
    </xf>
    <xf numFmtId="0" fontId="12" fillId="0" borderId="132" xfId="0" applyNumberFormat="1" applyFont="1" applyFill="1" applyBorder="1" applyAlignment="1">
      <alignment horizontal="center" vertical="center" wrapText="1" shrinkToFit="1"/>
    </xf>
    <xf numFmtId="0" fontId="12" fillId="0" borderId="28" xfId="0" applyNumberFormat="1" applyFont="1" applyFill="1" applyBorder="1" applyAlignment="1">
      <alignment horizontal="center" vertical="center" wrapText="1" shrinkToFit="1"/>
    </xf>
    <xf numFmtId="0" fontId="8" fillId="0" borderId="101" xfId="0" applyFont="1" applyFill="1" applyBorder="1" applyAlignment="1">
      <alignment horizontal="center" vertical="center" wrapText="1"/>
    </xf>
    <xf numFmtId="0" fontId="4" fillId="0" borderId="89" xfId="0" applyFont="1" applyFill="1" applyBorder="1" applyAlignment="1">
      <alignment horizontal="center" vertical="center" wrapText="1" shrinkToFit="1"/>
    </xf>
    <xf numFmtId="0" fontId="23" fillId="0" borderId="89" xfId="0" applyFont="1" applyFill="1" applyBorder="1" applyAlignment="1">
      <alignment horizontal="center" vertical="center"/>
    </xf>
    <xf numFmtId="0" fontId="23" fillId="0" borderId="99" xfId="0" applyFont="1" applyFill="1" applyBorder="1" applyAlignment="1">
      <alignment horizontal="center" vertical="center"/>
    </xf>
    <xf numFmtId="176" fontId="22" fillId="0" borderId="101" xfId="0" applyNumberFormat="1" applyFont="1" applyFill="1" applyBorder="1" applyAlignment="1">
      <alignment horizontal="center" vertical="center" shrinkToFit="1"/>
    </xf>
    <xf numFmtId="176" fontId="22" fillId="0" borderId="114" xfId="0" applyNumberFormat="1" applyFont="1" applyFill="1" applyBorder="1" applyAlignment="1">
      <alignment horizontal="center" vertical="center" shrinkToFit="1"/>
    </xf>
    <xf numFmtId="177" fontId="4" fillId="3" borderId="19" xfId="0" applyNumberFormat="1" applyFont="1" applyFill="1" applyBorder="1" applyAlignment="1">
      <alignment horizontal="center" vertical="center" shrinkToFit="1"/>
    </xf>
    <xf numFmtId="0" fontId="10" fillId="0" borderId="134" xfId="0" applyFont="1" applyBorder="1" applyAlignment="1">
      <alignment horizontal="center" vertical="center" shrinkToFit="1"/>
    </xf>
    <xf numFmtId="49" fontId="4" fillId="0" borderId="95" xfId="0" applyNumberFormat="1" applyFont="1" applyFill="1" applyBorder="1" applyAlignment="1">
      <alignment horizontal="center" vertical="center" shrinkToFit="1"/>
    </xf>
    <xf numFmtId="49" fontId="4" fillId="0" borderId="89" xfId="0" applyNumberFormat="1" applyFont="1" applyFill="1" applyBorder="1" applyAlignment="1">
      <alignment horizontal="center" vertical="center" shrinkToFit="1"/>
    </xf>
    <xf numFmtId="49" fontId="4" fillId="0" borderId="99" xfId="0" applyNumberFormat="1" applyFont="1" applyFill="1" applyBorder="1" applyAlignment="1">
      <alignment horizontal="center" vertical="center" shrinkToFit="1"/>
    </xf>
    <xf numFmtId="0" fontId="4" fillId="0" borderId="101" xfId="0" applyFont="1" applyFill="1" applyBorder="1" applyAlignment="1">
      <alignment horizontal="center" vertical="center" wrapText="1" shrinkToFit="1"/>
    </xf>
    <xf numFmtId="177" fontId="4" fillId="0" borderId="101" xfId="0" applyNumberFormat="1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wrapText="1" shrinkToFit="1"/>
    </xf>
    <xf numFmtId="0" fontId="4" fillId="0" borderId="18" xfId="0" applyFont="1" applyFill="1" applyBorder="1" applyAlignment="1">
      <alignment horizontal="center" vertical="center" wrapText="1" shrinkToFit="1"/>
    </xf>
    <xf numFmtId="0" fontId="12" fillId="0" borderId="22" xfId="0" applyNumberFormat="1" applyFont="1" applyFill="1" applyBorder="1" applyAlignment="1">
      <alignment horizontal="center" vertical="center" wrapText="1" shrinkToFit="1"/>
    </xf>
    <xf numFmtId="0" fontId="12" fillId="0" borderId="39" xfId="0" applyNumberFormat="1" applyFont="1" applyFill="1" applyBorder="1" applyAlignment="1">
      <alignment horizontal="center" vertical="center" wrapText="1" shrinkToFit="1"/>
    </xf>
    <xf numFmtId="0" fontId="12" fillId="0" borderId="9" xfId="0" applyNumberFormat="1" applyFont="1" applyFill="1" applyBorder="1" applyAlignment="1">
      <alignment horizontal="center" vertical="center" wrapText="1" shrinkToFit="1"/>
    </xf>
    <xf numFmtId="177" fontId="28" fillId="0" borderId="8" xfId="0" applyNumberFormat="1" applyFont="1" applyFill="1" applyBorder="1" applyAlignment="1">
      <alignment horizontal="center" vertical="center" shrinkToFit="1"/>
    </xf>
    <xf numFmtId="177" fontId="28" fillId="0" borderId="40" xfId="0" applyNumberFormat="1" applyFont="1" applyFill="1" applyBorder="1" applyAlignment="1">
      <alignment horizontal="center" vertical="center" shrinkToFit="1"/>
    </xf>
    <xf numFmtId="177" fontId="28" fillId="0" borderId="10" xfId="0" applyNumberFormat="1" applyFont="1" applyFill="1" applyBorder="1" applyAlignment="1">
      <alignment horizontal="center" vertical="center" shrinkToFit="1"/>
    </xf>
  </cellXfs>
  <cellStyles count="3">
    <cellStyle name="표준" xfId="0" builtinId="0"/>
    <cellStyle name="표준_P(1).SHAFT(SH)(메일발송용)" xfId="1"/>
    <cellStyle name="표준_관리계획서" xfId="2"/>
  </cellStyles>
  <dxfs count="5"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4924986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18" name="타원 17"/>
        <xdr:cNvSpPr/>
      </xdr:nvSpPr>
      <xdr:spPr>
        <a:xfrm>
          <a:off x="3671606" y="5334000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24" name="직선 화살표 연결선 23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25" name="직선 화살표 연결선 24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26" name="직선 화살표 연결선 25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27" name="직선 화살표 연결선 26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28" name="직선 화살표 연결선 27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3" name="그룹 12"/>
        <xdr:cNvGrpSpPr/>
      </xdr:nvGrpSpPr>
      <xdr:grpSpPr>
        <a:xfrm>
          <a:off x="4303059" y="9211235"/>
          <a:ext cx="2767853" cy="1176618"/>
          <a:chOff x="342901" y="2063354"/>
          <a:chExt cx="1604591" cy="1343024"/>
        </a:xfrm>
      </xdr:grpSpPr>
      <xdr:pic>
        <xdr:nvPicPr>
          <xdr:cNvPr id="14" name="그림 1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5" name="그룹 14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2" name="타원 31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3" name="타원 32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4" name="타원 33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6" name="그룹 15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9" name="타원 2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0" name="타원 2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1" name="타원 3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7" name="그룹 16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20" name="타원 19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1" name="타원 20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3" name="타원 22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twoCellAnchor>
    <xdr:from>
      <xdr:col>1</xdr:col>
      <xdr:colOff>7282</xdr:colOff>
      <xdr:row>6</xdr:row>
      <xdr:rowOff>33617</xdr:rowOff>
    </xdr:from>
    <xdr:to>
      <xdr:col>2</xdr:col>
      <xdr:colOff>302559</xdr:colOff>
      <xdr:row>7</xdr:row>
      <xdr:rowOff>190500</xdr:rowOff>
    </xdr:to>
    <xdr:sp macro="" textlink="">
      <xdr:nvSpPr>
        <xdr:cNvPr id="35" name="타원 34" hidden="1"/>
        <xdr:cNvSpPr/>
      </xdr:nvSpPr>
      <xdr:spPr>
        <a:xfrm>
          <a:off x="321047" y="1557617"/>
          <a:ext cx="609041" cy="36979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126064</xdr:colOff>
      <xdr:row>10</xdr:row>
      <xdr:rowOff>96371</xdr:rowOff>
    </xdr:from>
    <xdr:to>
      <xdr:col>24</xdr:col>
      <xdr:colOff>735105</xdr:colOff>
      <xdr:row>12</xdr:row>
      <xdr:rowOff>40342</xdr:rowOff>
    </xdr:to>
    <xdr:sp macro="" textlink="">
      <xdr:nvSpPr>
        <xdr:cNvPr id="36" name="타원 35"/>
        <xdr:cNvSpPr/>
      </xdr:nvSpPr>
      <xdr:spPr>
        <a:xfrm>
          <a:off x="8127064" y="2449606"/>
          <a:ext cx="609041" cy="36979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56029</xdr:colOff>
      <xdr:row>6</xdr:row>
      <xdr:rowOff>22413</xdr:rowOff>
    </xdr:from>
    <xdr:to>
      <xdr:col>5</xdr:col>
      <xdr:colOff>267821</xdr:colOff>
      <xdr:row>7</xdr:row>
      <xdr:rowOff>166409</xdr:rowOff>
    </xdr:to>
    <xdr:sp macro="" textlink="">
      <xdr:nvSpPr>
        <xdr:cNvPr id="37" name="타원 36"/>
        <xdr:cNvSpPr/>
      </xdr:nvSpPr>
      <xdr:spPr>
        <a:xfrm>
          <a:off x="1311088" y="1546413"/>
          <a:ext cx="525557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51547</xdr:colOff>
      <xdr:row>6</xdr:row>
      <xdr:rowOff>17930</xdr:rowOff>
    </xdr:from>
    <xdr:to>
      <xdr:col>8</xdr:col>
      <xdr:colOff>263339</xdr:colOff>
      <xdr:row>7</xdr:row>
      <xdr:rowOff>161926</xdr:rowOff>
    </xdr:to>
    <xdr:sp macro="" textlink="">
      <xdr:nvSpPr>
        <xdr:cNvPr id="38" name="타원 37"/>
        <xdr:cNvSpPr/>
      </xdr:nvSpPr>
      <xdr:spPr>
        <a:xfrm>
          <a:off x="2247900" y="1541930"/>
          <a:ext cx="525557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47064</xdr:colOff>
      <xdr:row>6</xdr:row>
      <xdr:rowOff>24654</xdr:rowOff>
    </xdr:from>
    <xdr:to>
      <xdr:col>11</xdr:col>
      <xdr:colOff>258856</xdr:colOff>
      <xdr:row>7</xdr:row>
      <xdr:rowOff>168650</xdr:rowOff>
    </xdr:to>
    <xdr:sp macro="" textlink="">
      <xdr:nvSpPr>
        <xdr:cNvPr id="39" name="타원 38"/>
        <xdr:cNvSpPr/>
      </xdr:nvSpPr>
      <xdr:spPr>
        <a:xfrm>
          <a:off x="3184711" y="1548654"/>
          <a:ext cx="525557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4" name="타원 3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8" name="타원 7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9" name="타원 8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1" name="직선 화살표 연결선 10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2" name="직선 화살표 연결선 11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3" name="직선 화살표 연결선 12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4" name="직선 화살표 연결선 13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313763</xdr:colOff>
      <xdr:row>27</xdr:row>
      <xdr:rowOff>67234</xdr:rowOff>
    </xdr:from>
    <xdr:to>
      <xdr:col>3</xdr:col>
      <xdr:colOff>12806</xdr:colOff>
      <xdr:row>29</xdr:row>
      <xdr:rowOff>179294</xdr:rowOff>
    </xdr:to>
    <xdr:pic>
      <xdr:nvPicPr>
        <xdr:cNvPr id="18" name="Picture 41" descr="중보마크-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763" y="6084793"/>
          <a:ext cx="640337" cy="537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9" name="그룹 18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20" name="그림 19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1" name="그룹 20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0" name="타원 29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1" name="타원 30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2" name="타원 31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2" name="그룹 21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7" name="타원 26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8" name="타원 27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9" name="타원 28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3" name="그룹 22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24" name="타원 23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5" name="타원 24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6" name="타원 25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4924986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58273</xdr:colOff>
      <xdr:row>28</xdr:row>
      <xdr:rowOff>11206</xdr:rowOff>
    </xdr:from>
    <xdr:ext cx="1181100" cy="438152"/>
    <xdr:pic>
      <xdr:nvPicPr>
        <xdr:cNvPr id="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87198" y="6002431"/>
          <a:ext cx="1181100" cy="438152"/>
        </a:xfrm>
        <a:prstGeom prst="rect">
          <a:avLst/>
        </a:prstGeom>
        <a:noFill/>
      </xdr:spPr>
    </xdr:pic>
    <xdr:clientData/>
  </xdr:one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10" name="타원 9"/>
        <xdr:cNvSpPr/>
      </xdr:nvSpPr>
      <xdr:spPr>
        <a:xfrm>
          <a:off x="3671606" y="5334000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12" name="타원 11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18" name="타원 17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20" name="타원 19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22" name="직선 화살표 연결선 21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23" name="직선 화살표 연결선 22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24" name="직선 화살표 연결선 23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25" name="직선 화살표 연결선 24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26" name="직선 화살표 연결선 25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268942</xdr:colOff>
      <xdr:row>9</xdr:row>
      <xdr:rowOff>145677</xdr:rowOff>
    </xdr:from>
    <xdr:to>
      <xdr:col>20</xdr:col>
      <xdr:colOff>56029</xdr:colOff>
      <xdr:row>11</xdr:row>
      <xdr:rowOff>9526</xdr:rowOff>
    </xdr:to>
    <xdr:sp macro="" textlink="">
      <xdr:nvSpPr>
        <xdr:cNvPr id="19" name="타원 18"/>
        <xdr:cNvSpPr/>
      </xdr:nvSpPr>
      <xdr:spPr>
        <a:xfrm>
          <a:off x="5317192" y="2298327"/>
          <a:ext cx="1044387" cy="359149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21" name="그룹 20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29" name="그림 28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0" name="그룹 29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9" name="타원 3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40" name="타원 3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41" name="타원 4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그룹 30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36" name="타원 35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7" name="타원 36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8" name="타원 37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그룹 31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33" name="타원 32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4" name="타원 33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5" name="타원 34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twoCellAnchor>
    <xdr:from>
      <xdr:col>19</xdr:col>
      <xdr:colOff>45384</xdr:colOff>
      <xdr:row>29</xdr:row>
      <xdr:rowOff>205068</xdr:rowOff>
    </xdr:from>
    <xdr:to>
      <xdr:col>20</xdr:col>
      <xdr:colOff>290419</xdr:colOff>
      <xdr:row>31</xdr:row>
      <xdr:rowOff>134844</xdr:rowOff>
    </xdr:to>
    <xdr:sp macro="" textlink="">
      <xdr:nvSpPr>
        <xdr:cNvPr id="15" name="타원 14"/>
        <xdr:cNvSpPr/>
      </xdr:nvSpPr>
      <xdr:spPr>
        <a:xfrm>
          <a:off x="6029325" y="6648450"/>
          <a:ext cx="558800" cy="355600"/>
        </a:xfrm>
        <a:prstGeom prst="ellipse">
          <a:avLst/>
        </a:prstGeom>
        <a:solidFill>
          <a:srgbClr val="FFFFFF">
            <a:alpha val="1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59204</xdr:colOff>
      <xdr:row>30</xdr:row>
      <xdr:rowOff>4856</xdr:rowOff>
    </xdr:from>
    <xdr:to>
      <xdr:col>22</xdr:col>
      <xdr:colOff>304240</xdr:colOff>
      <xdr:row>31</xdr:row>
      <xdr:rowOff>147544</xdr:rowOff>
    </xdr:to>
    <xdr:sp macro="" textlink="">
      <xdr:nvSpPr>
        <xdr:cNvPr id="16" name="타원 15"/>
        <xdr:cNvSpPr/>
      </xdr:nvSpPr>
      <xdr:spPr>
        <a:xfrm>
          <a:off x="6670675" y="6661150"/>
          <a:ext cx="558800" cy="355600"/>
        </a:xfrm>
        <a:prstGeom prst="ellipse">
          <a:avLst/>
        </a:prstGeom>
        <a:solidFill>
          <a:srgbClr val="FFFFFF">
            <a:alpha val="1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45384</xdr:colOff>
      <xdr:row>29</xdr:row>
      <xdr:rowOff>205068</xdr:rowOff>
    </xdr:from>
    <xdr:to>
      <xdr:col>20</xdr:col>
      <xdr:colOff>290419</xdr:colOff>
      <xdr:row>31</xdr:row>
      <xdr:rowOff>134844</xdr:rowOff>
    </xdr:to>
    <xdr:sp macro="" textlink="">
      <xdr:nvSpPr>
        <xdr:cNvPr id="17" name="타원 16"/>
        <xdr:cNvSpPr/>
      </xdr:nvSpPr>
      <xdr:spPr>
        <a:xfrm>
          <a:off x="6029325" y="6648450"/>
          <a:ext cx="558800" cy="355600"/>
        </a:xfrm>
        <a:prstGeom prst="ellipse">
          <a:avLst/>
        </a:prstGeom>
        <a:solidFill>
          <a:srgbClr val="FFFFFF">
            <a:alpha val="1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59204</xdr:colOff>
      <xdr:row>30</xdr:row>
      <xdr:rowOff>4856</xdr:rowOff>
    </xdr:from>
    <xdr:to>
      <xdr:col>22</xdr:col>
      <xdr:colOff>304240</xdr:colOff>
      <xdr:row>31</xdr:row>
      <xdr:rowOff>147544</xdr:rowOff>
    </xdr:to>
    <xdr:sp macro="" textlink="">
      <xdr:nvSpPr>
        <xdr:cNvPr id="27" name="타원 26"/>
        <xdr:cNvSpPr/>
      </xdr:nvSpPr>
      <xdr:spPr>
        <a:xfrm>
          <a:off x="6670675" y="6661150"/>
          <a:ext cx="558800" cy="355600"/>
        </a:xfrm>
        <a:prstGeom prst="ellipse">
          <a:avLst/>
        </a:prstGeom>
        <a:solidFill>
          <a:srgbClr val="FFFFFF">
            <a:alpha val="1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45384</xdr:colOff>
      <xdr:row>29</xdr:row>
      <xdr:rowOff>205068</xdr:rowOff>
    </xdr:from>
    <xdr:to>
      <xdr:col>20</xdr:col>
      <xdr:colOff>290419</xdr:colOff>
      <xdr:row>31</xdr:row>
      <xdr:rowOff>134844</xdr:rowOff>
    </xdr:to>
    <xdr:sp macro="" textlink="">
      <xdr:nvSpPr>
        <xdr:cNvPr id="28" name="타원 27"/>
        <xdr:cNvSpPr/>
      </xdr:nvSpPr>
      <xdr:spPr>
        <a:xfrm>
          <a:off x="6029325" y="6648450"/>
          <a:ext cx="558800" cy="355600"/>
        </a:xfrm>
        <a:prstGeom prst="ellipse">
          <a:avLst/>
        </a:prstGeom>
        <a:solidFill>
          <a:srgbClr val="FFFFFF">
            <a:alpha val="1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46504</xdr:colOff>
      <xdr:row>29</xdr:row>
      <xdr:rowOff>205068</xdr:rowOff>
    </xdr:from>
    <xdr:to>
      <xdr:col>22</xdr:col>
      <xdr:colOff>291540</xdr:colOff>
      <xdr:row>31</xdr:row>
      <xdr:rowOff>134844</xdr:rowOff>
    </xdr:to>
    <xdr:sp macro="" textlink="">
      <xdr:nvSpPr>
        <xdr:cNvPr id="42" name="타원 41"/>
        <xdr:cNvSpPr/>
      </xdr:nvSpPr>
      <xdr:spPr>
        <a:xfrm>
          <a:off x="6657975" y="6648450"/>
          <a:ext cx="558800" cy="355600"/>
        </a:xfrm>
        <a:prstGeom prst="ellipse">
          <a:avLst/>
        </a:prstGeom>
        <a:solidFill>
          <a:srgbClr val="FFFFFF">
            <a:alpha val="1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58273</xdr:colOff>
      <xdr:row>28</xdr:row>
      <xdr:rowOff>11206</xdr:rowOff>
    </xdr:from>
    <xdr:ext cx="1181100" cy="438152"/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87198" y="6183406"/>
          <a:ext cx="1181100" cy="438152"/>
        </a:xfrm>
        <a:prstGeom prst="rect">
          <a:avLst/>
        </a:prstGeom>
        <a:noFill/>
      </xdr:spPr>
    </xdr:pic>
    <xdr:clientData/>
  </xdr:one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4" name="타원 3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8" name="타원 7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9" name="타원 8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1" name="직선 화살표 연결선 10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2" name="직선 화살표 연결선 11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3" name="직선 화살표 연결선 12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4" name="직선 화살표 연결선 13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8" name="그룹 17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19" name="그림 18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0" name="그룹 19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29" name="타원 2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0" name="타원 2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1" name="타원 3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1" name="그룹 20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6" name="타원 25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7" name="타원 26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8" name="타원 27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2" name="그룹 21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23" name="타원 22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4" name="타원 23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5" name="타원 24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58273</xdr:colOff>
      <xdr:row>28</xdr:row>
      <xdr:rowOff>11206</xdr:rowOff>
    </xdr:from>
    <xdr:ext cx="1181100" cy="438152"/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87198" y="6183406"/>
          <a:ext cx="1181100" cy="438152"/>
        </a:xfrm>
        <a:prstGeom prst="rect">
          <a:avLst/>
        </a:prstGeom>
        <a:noFill/>
      </xdr:spPr>
    </xdr:pic>
    <xdr:clientData/>
  </xdr:one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4" name="타원 3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8" name="타원 7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9" name="직선 화살표 연결선 8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1" name="직선 화살표 연결선 10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2" name="직선 화살표 연결선 11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3" name="직선 화살표 연결선 12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4" name="그룹 13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15" name="그림 14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6" name="그룹 15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25" name="타원 24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6" name="타원 25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7" name="타원 26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7" name="그룹 16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2" name="타원 21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3" name="타원 22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4" name="타원 23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8" name="그룹 17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19" name="타원 1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0" name="타원 1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1" name="타원 2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twoCellAnchor>
    <xdr:from>
      <xdr:col>4</xdr:col>
      <xdr:colOff>49865</xdr:colOff>
      <xdr:row>6</xdr:row>
      <xdr:rowOff>24092</xdr:rowOff>
    </xdr:from>
    <xdr:to>
      <xdr:col>5</xdr:col>
      <xdr:colOff>261657</xdr:colOff>
      <xdr:row>7</xdr:row>
      <xdr:rowOff>168088</xdr:rowOff>
    </xdr:to>
    <xdr:sp macro="" textlink="">
      <xdr:nvSpPr>
        <xdr:cNvPr id="29" name="타원 28"/>
        <xdr:cNvSpPr/>
      </xdr:nvSpPr>
      <xdr:spPr>
        <a:xfrm>
          <a:off x="1304924" y="1548092"/>
          <a:ext cx="525557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12" name="타원 11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13" name="타원 12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16" name="직선 화살표 연결선 15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7" name="직선 화살표 연결선 16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8" name="직선 화살표 연결선 17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9" name="직선 화살표 연결선 18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20" name="직선 화살표 연결선 19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303678</xdr:colOff>
      <xdr:row>9</xdr:row>
      <xdr:rowOff>169769</xdr:rowOff>
    </xdr:from>
    <xdr:to>
      <xdr:col>21</xdr:col>
      <xdr:colOff>201705</xdr:colOff>
      <xdr:row>11</xdr:row>
      <xdr:rowOff>33618</xdr:rowOff>
    </xdr:to>
    <xdr:sp macro="" textlink="">
      <xdr:nvSpPr>
        <xdr:cNvPr id="10" name="타원 9"/>
        <xdr:cNvSpPr/>
      </xdr:nvSpPr>
      <xdr:spPr>
        <a:xfrm>
          <a:off x="6287619" y="2623857"/>
          <a:ext cx="525557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197784</xdr:rowOff>
    </xdr:to>
    <xdr:grpSp>
      <xdr:nvGrpSpPr>
        <xdr:cNvPr id="46" name="그룹 45"/>
        <xdr:cNvGrpSpPr/>
      </xdr:nvGrpSpPr>
      <xdr:grpSpPr>
        <a:xfrm>
          <a:off x="4303059" y="9424147"/>
          <a:ext cx="2767853" cy="746872"/>
          <a:chOff x="342901" y="2063354"/>
          <a:chExt cx="1604591" cy="1343024"/>
        </a:xfrm>
      </xdr:grpSpPr>
      <xdr:pic>
        <xdr:nvPicPr>
          <xdr:cNvPr id="47" name="그림 46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8" name="그룹 47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57" name="타원 56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8" name="타원 57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9" name="타원 58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9" name="그룹 48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54" name="타원 53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5" name="타원 54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6" name="타원 55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0" name="그룹 49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51" name="타원 50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2" name="타원 51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3" name="타원 52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AE88"/>
  <sheetViews>
    <sheetView showGridLines="0" showZeros="0" tabSelected="1" view="pageBreakPreview" zoomScale="85" zoomScaleNormal="100" zoomScaleSheetLayoutView="85" workbookViewId="0">
      <selection activeCell="Y23" sqref="Y23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31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371" t="s">
        <v>223</v>
      </c>
      <c r="J1" s="372"/>
      <c r="K1" s="365"/>
      <c r="L1" s="366"/>
      <c r="M1" s="367"/>
      <c r="N1" s="343" t="s">
        <v>6</v>
      </c>
      <c r="O1" s="344"/>
      <c r="P1" s="347" t="str">
        <f>Y5</f>
        <v>000000-00-00-00</v>
      </c>
      <c r="Q1" s="347"/>
      <c r="R1" s="347"/>
      <c r="S1" s="347"/>
      <c r="T1" s="347"/>
      <c r="U1" s="347"/>
      <c r="V1" s="347"/>
      <c r="W1" s="348"/>
    </row>
    <row r="2" spans="1:31" ht="20.100000000000001" customHeight="1" thickBot="1">
      <c r="A2" s="362"/>
      <c r="B2" s="349"/>
      <c r="C2" s="349"/>
      <c r="D2" s="349"/>
      <c r="E2" s="349"/>
      <c r="F2" s="349"/>
      <c r="G2" s="349"/>
      <c r="H2" s="349"/>
      <c r="I2" s="373"/>
      <c r="J2" s="374"/>
      <c r="K2" s="368"/>
      <c r="L2" s="369"/>
      <c r="M2" s="370"/>
      <c r="N2" s="345"/>
      <c r="O2" s="346"/>
      <c r="P2" s="349"/>
      <c r="Q2" s="349"/>
      <c r="R2" s="349"/>
      <c r="S2" s="349"/>
      <c r="T2" s="349"/>
      <c r="U2" s="349"/>
      <c r="V2" s="349"/>
      <c r="W2" s="350"/>
    </row>
    <row r="3" spans="1:31" s="2" customFormat="1" ht="15" customHeight="1">
      <c r="A3" s="351" t="s">
        <v>0</v>
      </c>
      <c r="B3" s="352"/>
      <c r="C3" s="352"/>
      <c r="D3" s="360"/>
      <c r="E3" s="360"/>
      <c r="F3" s="360"/>
      <c r="G3" s="360"/>
      <c r="H3" s="1"/>
      <c r="I3" s="1"/>
      <c r="J3" s="1"/>
      <c r="K3" s="1"/>
      <c r="L3" s="1"/>
      <c r="M3" s="1"/>
      <c r="N3" s="353" t="s">
        <v>1</v>
      </c>
      <c r="O3" s="354"/>
      <c r="P3" s="355">
        <f>AA5</f>
        <v>0</v>
      </c>
      <c r="Q3" s="352"/>
      <c r="R3" s="356"/>
      <c r="S3" s="357" t="s">
        <v>121</v>
      </c>
      <c r="T3" s="358"/>
      <c r="U3" s="358"/>
      <c r="V3" s="358"/>
      <c r="W3" s="359"/>
    </row>
    <row r="4" spans="1:31" s="2" customFormat="1" ht="24.95" customHeight="1">
      <c r="A4" s="363" t="s">
        <v>2</v>
      </c>
      <c r="B4" s="364"/>
      <c r="C4" s="375"/>
      <c r="D4" s="376"/>
      <c r="E4" s="376"/>
      <c r="F4" s="376"/>
      <c r="G4" s="377"/>
      <c r="H4" s="364" t="s">
        <v>3</v>
      </c>
      <c r="I4" s="364"/>
      <c r="J4" s="378"/>
      <c r="K4" s="379"/>
      <c r="L4" s="379"/>
      <c r="M4" s="379"/>
      <c r="N4" s="445" t="s">
        <v>52</v>
      </c>
      <c r="O4" s="396"/>
      <c r="P4" s="384"/>
      <c r="Q4" s="385"/>
      <c r="R4" s="385"/>
      <c r="S4" s="385"/>
      <c r="T4" s="385"/>
      <c r="U4" s="385"/>
      <c r="V4" s="380" t="str">
        <f>QRCode(Y5)</f>
        <v/>
      </c>
      <c r="W4" s="381"/>
      <c r="Y4" s="2" t="s">
        <v>53</v>
      </c>
      <c r="Z4" s="2" t="s">
        <v>54</v>
      </c>
      <c r="AA4" s="2" t="s">
        <v>55</v>
      </c>
    </row>
    <row r="5" spans="1:31" s="2" customFormat="1" ht="24.95" customHeight="1" thickBot="1">
      <c r="A5" s="460" t="s">
        <v>4</v>
      </c>
      <c r="B5" s="461"/>
      <c r="C5" s="462"/>
      <c r="D5" s="463"/>
      <c r="E5" s="463"/>
      <c r="F5" s="463"/>
      <c r="G5" s="464"/>
      <c r="H5" s="465" t="s">
        <v>5</v>
      </c>
      <c r="I5" s="466"/>
      <c r="J5" s="467"/>
      <c r="K5" s="468"/>
      <c r="L5" s="468"/>
      <c r="M5" s="468"/>
      <c r="N5" s="345"/>
      <c r="O5" s="346"/>
      <c r="P5" s="386"/>
      <c r="Q5" s="387"/>
      <c r="R5" s="387"/>
      <c r="S5" s="387"/>
      <c r="T5" s="387"/>
      <c r="U5" s="387"/>
      <c r="V5" s="382"/>
      <c r="W5" s="383"/>
      <c r="Y5" s="2" t="s">
        <v>239</v>
      </c>
      <c r="Z5" s="2" t="str">
        <f>MID(Y5,9,1)</f>
        <v>0</v>
      </c>
      <c r="AA5" s="2">
        <f>Z5*1</f>
        <v>0</v>
      </c>
    </row>
    <row r="6" spans="1:31" s="2" customFormat="1" ht="16.5" customHeight="1">
      <c r="A6" s="469" t="s">
        <v>168</v>
      </c>
      <c r="B6" s="388"/>
      <c r="C6" s="388"/>
      <c r="D6" s="458" t="s">
        <v>168</v>
      </c>
      <c r="E6" s="388"/>
      <c r="F6" s="470"/>
      <c r="G6" s="388" t="s">
        <v>168</v>
      </c>
      <c r="H6" s="388"/>
      <c r="I6" s="388"/>
      <c r="J6" s="458" t="s">
        <v>168</v>
      </c>
      <c r="K6" s="388"/>
      <c r="L6" s="470"/>
      <c r="M6" s="388" t="s">
        <v>168</v>
      </c>
      <c r="N6" s="388"/>
      <c r="O6" s="388"/>
      <c r="P6" s="458" t="s">
        <v>168</v>
      </c>
      <c r="Q6" s="388"/>
      <c r="R6" s="459"/>
      <c r="S6" s="456" t="s">
        <v>169</v>
      </c>
      <c r="T6" s="457"/>
      <c r="U6" s="453"/>
      <c r="V6" s="454"/>
      <c r="W6" s="455"/>
    </row>
    <row r="7" spans="1:31" s="2" customFormat="1" ht="16.5" customHeight="1">
      <c r="A7" s="409" t="s">
        <v>64</v>
      </c>
      <c r="B7" s="300" t="s">
        <v>65</v>
      </c>
      <c r="C7" s="301"/>
      <c r="D7" s="304" t="s">
        <v>66</v>
      </c>
      <c r="E7" s="300" t="s">
        <v>67</v>
      </c>
      <c r="F7" s="420"/>
      <c r="G7" s="422" t="s">
        <v>68</v>
      </c>
      <c r="H7" s="300" t="s">
        <v>69</v>
      </c>
      <c r="I7" s="301"/>
      <c r="J7" s="304" t="s">
        <v>170</v>
      </c>
      <c r="K7" s="300" t="s">
        <v>86</v>
      </c>
      <c r="L7" s="420"/>
      <c r="M7" s="422" t="s">
        <v>199</v>
      </c>
      <c r="N7" s="300" t="s">
        <v>90</v>
      </c>
      <c r="O7" s="301"/>
      <c r="P7" s="304" t="s">
        <v>71</v>
      </c>
      <c r="Q7" s="300" t="s">
        <v>92</v>
      </c>
      <c r="R7" s="400"/>
      <c r="S7" s="395" t="s">
        <v>171</v>
      </c>
      <c r="T7" s="396"/>
      <c r="U7" s="397"/>
      <c r="V7" s="398"/>
      <c r="W7" s="399"/>
      <c r="Y7" s="2" t="s">
        <v>241</v>
      </c>
      <c r="AC7" s="2" t="s">
        <v>245</v>
      </c>
      <c r="AD7" s="2" t="s">
        <v>246</v>
      </c>
      <c r="AE7" s="2" t="s">
        <v>247</v>
      </c>
    </row>
    <row r="8" spans="1:31" s="2" customFormat="1" ht="16.5" customHeight="1">
      <c r="A8" s="410"/>
      <c r="B8" s="302"/>
      <c r="C8" s="303"/>
      <c r="D8" s="305"/>
      <c r="E8" s="302"/>
      <c r="F8" s="421"/>
      <c r="G8" s="423"/>
      <c r="H8" s="302"/>
      <c r="I8" s="303"/>
      <c r="J8" s="305"/>
      <c r="K8" s="302"/>
      <c r="L8" s="421"/>
      <c r="M8" s="423"/>
      <c r="N8" s="302"/>
      <c r="O8" s="303"/>
      <c r="P8" s="305"/>
      <c r="Q8" s="302"/>
      <c r="R8" s="401"/>
      <c r="S8" s="417" t="s">
        <v>139</v>
      </c>
      <c r="T8" s="418"/>
      <c r="U8" s="389"/>
      <c r="V8" s="390"/>
      <c r="W8" s="391"/>
      <c r="X8" s="2">
        <v>0</v>
      </c>
      <c r="Y8" s="2">
        <v>1</v>
      </c>
      <c r="Z8" s="2">
        <v>0</v>
      </c>
      <c r="AA8" s="4">
        <v>0</v>
      </c>
      <c r="AB8" s="4">
        <v>0</v>
      </c>
      <c r="AC8" s="2">
        <v>0</v>
      </c>
      <c r="AD8" s="2">
        <v>0</v>
      </c>
      <c r="AE8" s="19" t="s">
        <v>248</v>
      </c>
    </row>
    <row r="9" spans="1:31" s="2" customFormat="1" ht="16.5" customHeight="1" thickBot="1">
      <c r="A9" s="319" t="s">
        <v>172</v>
      </c>
      <c r="B9" s="320"/>
      <c r="C9" s="320"/>
      <c r="D9" s="320"/>
      <c r="E9" s="320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275"/>
      <c r="T9" s="419"/>
      <c r="U9" s="392"/>
      <c r="V9" s="393"/>
      <c r="W9" s="394"/>
      <c r="Y9" s="2">
        <f>preCircle(Y8)</f>
        <v>0</v>
      </c>
      <c r="AC9" s="2">
        <f>corrCircle(AC8)</f>
        <v>0</v>
      </c>
      <c r="AD9" s="2">
        <f>short1Circle(AD8)</f>
        <v>0</v>
      </c>
      <c r="AE9" s="2">
        <f>nextJobCircle(AE8)</f>
        <v>0</v>
      </c>
    </row>
    <row r="10" spans="1:31" s="4" customFormat="1" ht="15" customHeight="1">
      <c r="A10" s="238" t="s">
        <v>9</v>
      </c>
      <c r="B10" s="278"/>
      <c r="C10" s="278"/>
      <c r="D10" s="446" t="s">
        <v>144</v>
      </c>
      <c r="E10" s="446"/>
      <c r="F10" s="284" t="s">
        <v>175</v>
      </c>
      <c r="G10" s="285"/>
      <c r="H10" s="429" t="s">
        <v>140</v>
      </c>
      <c r="I10" s="430"/>
      <c r="J10" s="74"/>
      <c r="K10" s="414" t="s">
        <v>176</v>
      </c>
      <c r="L10" s="415"/>
      <c r="M10" s="415"/>
      <c r="N10" s="447" t="s">
        <v>177</v>
      </c>
      <c r="O10" s="448"/>
      <c r="P10" s="448"/>
      <c r="Q10" s="449"/>
      <c r="R10" s="287" t="s">
        <v>162</v>
      </c>
      <c r="S10" s="288"/>
      <c r="T10" s="288"/>
      <c r="U10" s="288"/>
      <c r="V10" s="288"/>
      <c r="W10" s="289"/>
    </row>
    <row r="11" spans="1:31" s="4" customFormat="1" ht="24" customHeight="1" thickBot="1">
      <c r="A11" s="424" t="s">
        <v>178</v>
      </c>
      <c r="B11" s="425"/>
      <c r="C11" s="425"/>
      <c r="D11" s="425"/>
      <c r="E11" s="405"/>
      <c r="F11" s="286"/>
      <c r="G11" s="286"/>
      <c r="H11" s="426"/>
      <c r="I11" s="427"/>
      <c r="J11" s="428"/>
      <c r="K11" s="416"/>
      <c r="L11" s="416"/>
      <c r="M11" s="416"/>
      <c r="N11" s="450"/>
      <c r="O11" s="451"/>
      <c r="P11" s="451"/>
      <c r="Q11" s="452"/>
      <c r="R11" s="290" t="s">
        <v>163</v>
      </c>
      <c r="S11" s="291"/>
      <c r="T11" s="291"/>
      <c r="U11" s="291" t="s">
        <v>164</v>
      </c>
      <c r="V11" s="291"/>
      <c r="W11" s="292"/>
    </row>
    <row r="12" spans="1:31" s="4" customFormat="1" ht="9.9499999999999993" customHeight="1">
      <c r="A12" s="33"/>
      <c r="B12" s="238"/>
      <c r="C12" s="239"/>
      <c r="D12" s="3"/>
      <c r="E12" s="31"/>
      <c r="F12" s="239"/>
      <c r="G12" s="3"/>
      <c r="H12" s="5"/>
      <c r="I12" s="238"/>
      <c r="J12" s="239"/>
      <c r="K12" s="273"/>
      <c r="L12" s="238"/>
      <c r="M12" s="239"/>
      <c r="N12" s="5"/>
      <c r="O12" s="238"/>
      <c r="P12" s="239"/>
      <c r="Q12" s="6"/>
      <c r="R12" s="7"/>
      <c r="S12" s="238" t="s">
        <v>10</v>
      </c>
      <c r="T12" s="299"/>
      <c r="U12" s="293" t="s">
        <v>110</v>
      </c>
      <c r="V12" s="294"/>
      <c r="W12" s="295"/>
    </row>
    <row r="13" spans="1:31" s="4" customFormat="1" ht="9.9499999999999993" customHeight="1" thickBot="1">
      <c r="A13" s="33"/>
      <c r="B13" s="240"/>
      <c r="C13" s="241"/>
      <c r="D13" s="3"/>
      <c r="E13" s="34"/>
      <c r="F13" s="241"/>
      <c r="G13" s="3"/>
      <c r="H13" s="5"/>
      <c r="I13" s="240"/>
      <c r="J13" s="241"/>
      <c r="K13" s="273"/>
      <c r="L13" s="240"/>
      <c r="M13" s="241"/>
      <c r="N13" s="5"/>
      <c r="O13" s="240"/>
      <c r="P13" s="241"/>
      <c r="Q13" s="6"/>
      <c r="R13" s="7"/>
      <c r="S13" s="236"/>
      <c r="T13" s="237"/>
      <c r="U13" s="296"/>
      <c r="V13" s="297"/>
      <c r="W13" s="298"/>
    </row>
    <row r="14" spans="1:31" s="4" customFormat="1" ht="15" customHeight="1">
      <c r="A14" s="33"/>
      <c r="B14" s="32"/>
      <c r="C14" s="3"/>
      <c r="D14" s="3"/>
      <c r="E14" s="3"/>
      <c r="F14" s="6"/>
      <c r="G14" s="7"/>
      <c r="H14" s="7"/>
      <c r="I14" s="35"/>
      <c r="J14" s="3"/>
      <c r="K14" s="3"/>
      <c r="L14" s="35"/>
      <c r="M14" s="3"/>
      <c r="N14" s="3"/>
      <c r="O14" s="8"/>
      <c r="P14" s="3"/>
      <c r="Q14" s="3"/>
      <c r="R14" s="3"/>
      <c r="S14" s="306" t="s">
        <v>11</v>
      </c>
      <c r="T14" s="307"/>
      <c r="U14" s="411" t="s">
        <v>111</v>
      </c>
      <c r="V14" s="412"/>
      <c r="W14" s="413"/>
    </row>
    <row r="15" spans="1:31" s="4" customFormat="1" ht="20.100000000000001" customHeight="1" thickBot="1">
      <c r="A15" s="33"/>
      <c r="B15" s="35"/>
      <c r="C15" s="3"/>
      <c r="D15" s="3"/>
      <c r="E15" s="3"/>
      <c r="F15" s="9"/>
      <c r="G15" s="427" t="s">
        <v>113</v>
      </c>
      <c r="H15" s="427"/>
      <c r="I15" s="427"/>
      <c r="J15" s="427"/>
      <c r="K15" s="427"/>
      <c r="L15" s="475"/>
      <c r="M15" s="3"/>
      <c r="N15" s="35"/>
      <c r="O15" s="3"/>
      <c r="P15" s="3"/>
      <c r="Q15" s="3"/>
      <c r="R15" s="3"/>
      <c r="S15" s="234" t="s">
        <v>12</v>
      </c>
      <c r="T15" s="235"/>
      <c r="U15" s="402" t="s">
        <v>112</v>
      </c>
      <c r="V15" s="403"/>
      <c r="W15" s="404"/>
    </row>
    <row r="16" spans="1:31" s="4" customFormat="1" ht="20.100000000000001" customHeight="1" thickBot="1">
      <c r="A16" s="476" t="s">
        <v>13</v>
      </c>
      <c r="B16" s="477"/>
      <c r="C16" s="10"/>
      <c r="D16" s="272"/>
      <c r="E16" s="272"/>
      <c r="F16" s="186"/>
      <c r="G16" s="278" t="s">
        <v>14</v>
      </c>
      <c r="H16" s="278"/>
      <c r="I16" s="278"/>
      <c r="J16" s="238" t="s">
        <v>15</v>
      </c>
      <c r="K16" s="278"/>
      <c r="L16" s="239"/>
      <c r="M16" s="487"/>
      <c r="N16" s="488"/>
      <c r="O16" s="275" t="s">
        <v>116</v>
      </c>
      <c r="P16" s="276"/>
      <c r="Q16" s="276"/>
      <c r="R16" s="29"/>
      <c r="S16" s="236"/>
      <c r="T16" s="237"/>
      <c r="U16" s="296"/>
      <c r="V16" s="297"/>
      <c r="W16" s="298"/>
    </row>
    <row r="17" spans="1:25" s="4" customFormat="1" ht="17.25" customHeight="1">
      <c r="A17" s="478"/>
      <c r="B17" s="479"/>
      <c r="C17" s="3"/>
      <c r="D17" s="33"/>
      <c r="E17" s="3"/>
      <c r="F17" s="35"/>
      <c r="G17" s="3"/>
      <c r="H17" s="3"/>
      <c r="I17" s="3"/>
      <c r="J17" s="33"/>
      <c r="K17" s="3"/>
      <c r="L17" s="35"/>
      <c r="M17" s="494" t="s">
        <v>122</v>
      </c>
      <c r="N17" s="495"/>
      <c r="O17" s="238"/>
      <c r="P17" s="278"/>
      <c r="Q17" s="239"/>
      <c r="R17" s="11"/>
      <c r="S17" s="282" t="s">
        <v>17</v>
      </c>
      <c r="T17" s="282"/>
      <c r="U17" s="282"/>
      <c r="V17" s="282"/>
      <c r="W17" s="283"/>
    </row>
    <row r="18" spans="1:25" s="4" customFormat="1" ht="17.25" customHeight="1" thickBot="1">
      <c r="A18" s="480"/>
      <c r="B18" s="481"/>
      <c r="C18" s="7"/>
      <c r="D18" s="275" t="s">
        <v>18</v>
      </c>
      <c r="E18" s="276"/>
      <c r="F18" s="277"/>
      <c r="G18" s="276" t="s">
        <v>19</v>
      </c>
      <c r="H18" s="276"/>
      <c r="I18" s="276"/>
      <c r="J18" s="275" t="s">
        <v>20</v>
      </c>
      <c r="K18" s="276"/>
      <c r="L18" s="277"/>
      <c r="M18" s="496"/>
      <c r="N18" s="497"/>
      <c r="O18" s="275" t="s">
        <v>21</v>
      </c>
      <c r="P18" s="276"/>
      <c r="Q18" s="277"/>
      <c r="R18" s="6"/>
      <c r="S18" s="183"/>
      <c r="T18" s="184"/>
      <c r="U18" s="184"/>
      <c r="V18" s="184"/>
      <c r="W18" s="185"/>
    </row>
    <row r="19" spans="1:25" s="4" customFormat="1" ht="17.25" customHeight="1">
      <c r="A19" s="492" t="s">
        <v>22</v>
      </c>
      <c r="B19" s="493"/>
      <c r="C19" s="196"/>
      <c r="D19" s="315" t="s">
        <v>23</v>
      </c>
      <c r="E19" s="245"/>
      <c r="F19" s="246"/>
      <c r="G19" s="245" t="s">
        <v>114</v>
      </c>
      <c r="H19" s="245"/>
      <c r="I19" s="245"/>
      <c r="J19" s="315" t="s">
        <v>111</v>
      </c>
      <c r="K19" s="245"/>
      <c r="L19" s="246"/>
      <c r="M19" s="498"/>
      <c r="N19" s="499"/>
      <c r="O19" s="315" t="s">
        <v>117</v>
      </c>
      <c r="P19" s="245"/>
      <c r="Q19" s="246"/>
      <c r="R19" s="6"/>
      <c r="S19" s="308" t="s">
        <v>85</v>
      </c>
      <c r="T19" s="309"/>
      <c r="U19" s="309"/>
      <c r="V19" s="309"/>
      <c r="W19" s="310"/>
    </row>
    <row r="20" spans="1:25" s="4" customFormat="1" ht="17.25" customHeight="1">
      <c r="A20" s="194" t="s">
        <v>24</v>
      </c>
      <c r="B20" s="500"/>
      <c r="C20" s="501"/>
      <c r="D20" s="482" t="s">
        <v>123</v>
      </c>
      <c r="E20" s="483"/>
      <c r="F20" s="486"/>
      <c r="G20" s="489" t="s">
        <v>128</v>
      </c>
      <c r="H20" s="489"/>
      <c r="I20" s="489"/>
      <c r="J20" s="490" t="s">
        <v>129</v>
      </c>
      <c r="K20" s="489"/>
      <c r="L20" s="491"/>
      <c r="M20" s="70"/>
      <c r="N20" s="71"/>
      <c r="O20" s="311" t="s">
        <v>130</v>
      </c>
      <c r="P20" s="312"/>
      <c r="Q20" s="313"/>
      <c r="R20" s="30"/>
      <c r="S20" s="183" t="s">
        <v>25</v>
      </c>
      <c r="T20" s="274"/>
      <c r="U20" s="314" t="s">
        <v>26</v>
      </c>
      <c r="V20" s="184"/>
      <c r="W20" s="185"/>
    </row>
    <row r="21" spans="1:25" s="4" customFormat="1" ht="17.25" customHeight="1">
      <c r="A21" s="194" t="s">
        <v>27</v>
      </c>
      <c r="B21" s="195"/>
      <c r="C21" s="196"/>
      <c r="D21" s="482" t="s">
        <v>28</v>
      </c>
      <c r="E21" s="483"/>
      <c r="F21" s="483"/>
      <c r="G21" s="484" t="s">
        <v>115</v>
      </c>
      <c r="H21" s="485"/>
      <c r="I21" s="485"/>
      <c r="J21" s="485"/>
      <c r="K21" s="485"/>
      <c r="L21" s="485"/>
      <c r="M21" s="279" t="s">
        <v>115</v>
      </c>
      <c r="N21" s="280"/>
      <c r="O21" s="280"/>
      <c r="P21" s="280"/>
      <c r="Q21" s="281"/>
      <c r="R21" s="29"/>
      <c r="S21" s="183" t="s">
        <v>29</v>
      </c>
      <c r="T21" s="274"/>
      <c r="U21" s="183"/>
      <c r="V21" s="184"/>
      <c r="W21" s="185"/>
    </row>
    <row r="22" spans="1:25" s="4" customFormat="1" ht="17.25" customHeight="1" thickBot="1">
      <c r="A22" s="194" t="s">
        <v>30</v>
      </c>
      <c r="B22" s="195"/>
      <c r="C22" s="196"/>
      <c r="D22" s="482" t="s">
        <v>31</v>
      </c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6"/>
      <c r="R22" s="12"/>
      <c r="S22" s="13"/>
      <c r="T22" s="193" t="s">
        <v>118</v>
      </c>
      <c r="U22" s="193"/>
      <c r="V22" s="193"/>
      <c r="W22" s="14"/>
    </row>
    <row r="23" spans="1:25" s="4" customFormat="1" ht="17.25" customHeight="1" thickBot="1">
      <c r="A23" s="194" t="s">
        <v>32</v>
      </c>
      <c r="B23" s="195"/>
      <c r="C23" s="196"/>
      <c r="D23" s="319" t="s">
        <v>33</v>
      </c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1"/>
      <c r="R23" s="45"/>
      <c r="S23" s="186"/>
      <c r="T23" s="15"/>
      <c r="U23" s="16"/>
      <c r="V23" s="17"/>
      <c r="W23" s="318"/>
    </row>
    <row r="24" spans="1:25" s="4" customFormat="1" ht="17.25" customHeight="1">
      <c r="A24" s="37" t="s">
        <v>34</v>
      </c>
      <c r="B24" s="7"/>
      <c r="C24" s="38"/>
      <c r="D24" s="193"/>
      <c r="E24" s="193"/>
      <c r="F24" s="193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186"/>
      <c r="T24" s="275" t="s">
        <v>119</v>
      </c>
      <c r="U24" s="276"/>
      <c r="V24" s="277"/>
      <c r="W24" s="318"/>
    </row>
    <row r="25" spans="1:25" s="4" customFormat="1" ht="16.5" customHeight="1">
      <c r="A25" s="187" t="s">
        <v>63</v>
      </c>
      <c r="B25" s="188"/>
      <c r="C25" s="40" t="s">
        <v>36</v>
      </c>
      <c r="D25" s="222" t="s">
        <v>127</v>
      </c>
      <c r="E25" s="223"/>
      <c r="F25" s="223"/>
      <c r="G25" s="322" t="s">
        <v>35</v>
      </c>
      <c r="H25" s="188"/>
      <c r="I25" s="222" t="s">
        <v>72</v>
      </c>
      <c r="J25" s="223"/>
      <c r="K25" s="233"/>
      <c r="L25" s="215" t="s">
        <v>37</v>
      </c>
      <c r="M25" s="41" t="s">
        <v>38</v>
      </c>
      <c r="N25" s="218" t="s">
        <v>199</v>
      </c>
      <c r="O25" s="220" t="s">
        <v>126</v>
      </c>
      <c r="P25" s="221"/>
      <c r="Q25" s="218" t="s">
        <v>71</v>
      </c>
      <c r="R25" s="203" t="s">
        <v>219</v>
      </c>
      <c r="S25" s="204"/>
      <c r="T25" s="207" t="s">
        <v>7</v>
      </c>
      <c r="U25" s="209" t="s">
        <v>73</v>
      </c>
      <c r="V25" s="210"/>
      <c r="W25" s="213" t="s">
        <v>7</v>
      </c>
    </row>
    <row r="26" spans="1:25" s="19" customFormat="1" ht="16.5" customHeight="1">
      <c r="A26" s="189"/>
      <c r="B26" s="190"/>
      <c r="C26" s="18" t="s">
        <v>124</v>
      </c>
      <c r="D26" s="325" t="s">
        <v>132</v>
      </c>
      <c r="E26" s="326"/>
      <c r="F26" s="326"/>
      <c r="G26" s="323"/>
      <c r="H26" s="190"/>
      <c r="I26" s="325" t="s">
        <v>132</v>
      </c>
      <c r="J26" s="326"/>
      <c r="K26" s="326"/>
      <c r="L26" s="216"/>
      <c r="M26" s="42" t="s">
        <v>39</v>
      </c>
      <c r="N26" s="219"/>
      <c r="O26" s="442" t="s">
        <v>89</v>
      </c>
      <c r="P26" s="443"/>
      <c r="Q26" s="219"/>
      <c r="R26" s="205"/>
      <c r="S26" s="206"/>
      <c r="T26" s="208"/>
      <c r="U26" s="211"/>
      <c r="V26" s="212"/>
      <c r="W26" s="214"/>
    </row>
    <row r="27" spans="1:25" s="19" customFormat="1" ht="16.5" customHeight="1">
      <c r="A27" s="191"/>
      <c r="B27" s="192"/>
      <c r="C27" s="43" t="s">
        <v>125</v>
      </c>
      <c r="D27" s="327" t="s">
        <v>131</v>
      </c>
      <c r="E27" s="328"/>
      <c r="F27" s="328"/>
      <c r="G27" s="324"/>
      <c r="H27" s="192"/>
      <c r="I27" s="327" t="s">
        <v>131</v>
      </c>
      <c r="J27" s="328"/>
      <c r="K27" s="328"/>
      <c r="L27" s="217"/>
      <c r="M27" s="44" t="s">
        <v>40</v>
      </c>
      <c r="N27" s="316" t="s">
        <v>90</v>
      </c>
      <c r="O27" s="205"/>
      <c r="P27" s="444"/>
      <c r="Q27" s="316" t="s">
        <v>57</v>
      </c>
      <c r="R27" s="211" t="s">
        <v>48</v>
      </c>
      <c r="S27" s="206"/>
      <c r="T27" s="206"/>
      <c r="U27" s="331" t="s">
        <v>48</v>
      </c>
      <c r="V27" s="332"/>
      <c r="W27" s="333"/>
    </row>
    <row r="28" spans="1:25" s="19" customFormat="1" ht="16.5" customHeight="1">
      <c r="A28" s="502" t="s">
        <v>198</v>
      </c>
      <c r="B28" s="503"/>
      <c r="C28" s="503"/>
      <c r="D28" s="503"/>
      <c r="E28" s="503"/>
      <c r="F28" s="503"/>
      <c r="G28" s="503"/>
      <c r="H28" s="503"/>
      <c r="I28" s="503"/>
      <c r="J28" s="503"/>
      <c r="K28" s="503"/>
      <c r="L28" s="503"/>
      <c r="M28" s="504"/>
      <c r="N28" s="316"/>
      <c r="O28" s="329" t="s">
        <v>98</v>
      </c>
      <c r="P28" s="330"/>
      <c r="Q28" s="316"/>
      <c r="R28" s="334" t="s">
        <v>220</v>
      </c>
      <c r="S28" s="335"/>
      <c r="T28" s="335"/>
      <c r="U28" s="334" t="s">
        <v>59</v>
      </c>
      <c r="V28" s="335"/>
      <c r="W28" s="336"/>
    </row>
    <row r="29" spans="1:25" s="19" customFormat="1" ht="17.100000000000001" customHeight="1">
      <c r="A29" s="505"/>
      <c r="B29" s="506"/>
      <c r="C29" s="506"/>
      <c r="D29" s="506"/>
      <c r="E29" s="506"/>
      <c r="F29" s="506"/>
      <c r="G29" s="506"/>
      <c r="H29" s="506"/>
      <c r="I29" s="506"/>
      <c r="J29" s="506"/>
      <c r="K29" s="506"/>
      <c r="L29" s="506"/>
      <c r="M29" s="507"/>
      <c r="N29" s="316"/>
      <c r="O29" s="329"/>
      <c r="P29" s="330"/>
      <c r="Q29" s="316"/>
      <c r="R29" s="340" t="s">
        <v>221</v>
      </c>
      <c r="S29" s="326"/>
      <c r="T29" s="326"/>
      <c r="U29" s="337" t="s">
        <v>221</v>
      </c>
      <c r="V29" s="338"/>
      <c r="W29" s="339"/>
    </row>
    <row r="30" spans="1:25" s="19" customFormat="1" ht="17.100000000000001" customHeight="1">
      <c r="A30" s="99" t="s">
        <v>207</v>
      </c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316"/>
      <c r="O30" s="329"/>
      <c r="P30" s="330"/>
      <c r="Q30" s="316"/>
      <c r="R30" s="529" t="s">
        <v>208</v>
      </c>
      <c r="S30" s="530"/>
      <c r="T30" s="531"/>
      <c r="U30" s="334" t="s">
        <v>209</v>
      </c>
      <c r="V30" s="335"/>
      <c r="W30" s="336"/>
    </row>
    <row r="31" spans="1:25" s="19" customFormat="1" ht="1.5" customHeight="1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317"/>
      <c r="O31" s="329"/>
      <c r="P31" s="330"/>
      <c r="Q31" s="317"/>
      <c r="R31" s="532"/>
      <c r="S31" s="533"/>
      <c r="T31" s="534"/>
      <c r="U31" s="341"/>
      <c r="V31" s="198"/>
      <c r="W31" s="342"/>
    </row>
    <row r="32" spans="1:25" s="19" customFormat="1" ht="17.100000000000001" customHeight="1">
      <c r="A32" s="99" t="s">
        <v>210</v>
      </c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538" t="s">
        <v>80</v>
      </c>
      <c r="O32" s="539"/>
      <c r="P32" s="539"/>
      <c r="Q32" s="539"/>
      <c r="R32" s="539"/>
      <c r="S32" s="197" t="s">
        <v>7</v>
      </c>
      <c r="T32" s="199" t="s">
        <v>81</v>
      </c>
      <c r="U32" s="200"/>
      <c r="V32" s="199" t="s">
        <v>211</v>
      </c>
      <c r="W32" s="537"/>
      <c r="Y32" s="28"/>
    </row>
    <row r="33" spans="1:29" s="19" customFormat="1" ht="17.100000000000001" customHeight="1">
      <c r="A33" s="99"/>
      <c r="B33" s="100" t="s">
        <v>212</v>
      </c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540"/>
      <c r="O33" s="541"/>
      <c r="P33" s="541"/>
      <c r="Q33" s="541"/>
      <c r="R33" s="541"/>
      <c r="S33" s="198"/>
      <c r="T33" s="201"/>
      <c r="U33" s="202"/>
      <c r="V33" s="201"/>
      <c r="W33" s="342"/>
    </row>
    <row r="34" spans="1:29" s="19" customFormat="1" ht="17.100000000000001" customHeight="1">
      <c r="A34" s="99" t="s">
        <v>213</v>
      </c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535" t="s">
        <v>87</v>
      </c>
      <c r="O34" s="535"/>
      <c r="P34" s="535"/>
      <c r="Q34" s="535"/>
      <c r="R34" s="535"/>
      <c r="S34" s="535"/>
      <c r="T34" s="535"/>
      <c r="U34" s="535"/>
      <c r="V34" s="535"/>
      <c r="W34" s="536"/>
    </row>
    <row r="35" spans="1:29" s="19" customFormat="1" ht="16.5" customHeight="1">
      <c r="A35" s="99" t="s">
        <v>214</v>
      </c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435"/>
      <c r="O35" s="436"/>
      <c r="P35" s="436"/>
      <c r="Q35" s="436"/>
      <c r="R35" s="436"/>
      <c r="S35" s="436"/>
      <c r="T35" s="436"/>
      <c r="U35" s="436"/>
      <c r="V35" s="436"/>
      <c r="W35" s="437"/>
    </row>
    <row r="36" spans="1:29" s="19" customFormat="1" ht="17.100000000000001" customHeight="1">
      <c r="A36" s="99" t="s">
        <v>215</v>
      </c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438"/>
      <c r="O36" s="439"/>
      <c r="P36" s="439"/>
      <c r="Q36" s="439"/>
      <c r="R36" s="439"/>
      <c r="S36" s="439"/>
      <c r="T36" s="439"/>
      <c r="U36" s="439"/>
      <c r="V36" s="439"/>
      <c r="W36" s="440"/>
    </row>
    <row r="37" spans="1:29" s="19" customFormat="1" ht="17.100000000000001" customHeight="1">
      <c r="A37" s="99" t="s">
        <v>216</v>
      </c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514"/>
      <c r="O37" s="515"/>
      <c r="P37" s="515"/>
      <c r="Q37" s="515"/>
      <c r="R37" s="515"/>
      <c r="S37" s="515"/>
      <c r="T37" s="515"/>
      <c r="U37" s="515"/>
      <c r="V37" s="515"/>
      <c r="W37" s="516"/>
    </row>
    <row r="38" spans="1:29" s="19" customFormat="1" ht="15" customHeight="1">
      <c r="A38" s="99" t="s">
        <v>217</v>
      </c>
      <c r="B38" s="100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517"/>
      <c r="O38" s="518"/>
      <c r="P38" s="518"/>
      <c r="Q38" s="518"/>
      <c r="R38" s="518"/>
      <c r="S38" s="518"/>
      <c r="T38" s="518"/>
      <c r="U38" s="518"/>
      <c r="V38" s="518"/>
      <c r="W38" s="519"/>
    </row>
    <row r="39" spans="1:29" s="19" customFormat="1" ht="15" customHeight="1">
      <c r="A39" s="99" t="s">
        <v>218</v>
      </c>
      <c r="B39" s="100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517"/>
      <c r="O39" s="518"/>
      <c r="P39" s="518"/>
      <c r="Q39" s="518"/>
      <c r="R39" s="518"/>
      <c r="S39" s="518"/>
      <c r="T39" s="518"/>
      <c r="U39" s="518"/>
      <c r="V39" s="518"/>
      <c r="W39" s="519"/>
    </row>
    <row r="40" spans="1:29" s="19" customFormat="1" ht="15" customHeight="1">
      <c r="A40" s="102"/>
      <c r="B40" s="103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520"/>
      <c r="O40" s="521"/>
      <c r="P40" s="521"/>
      <c r="Q40" s="521"/>
      <c r="R40" s="521"/>
      <c r="S40" s="521"/>
      <c r="T40" s="521"/>
      <c r="U40" s="521"/>
      <c r="V40" s="521"/>
      <c r="W40" s="522"/>
    </row>
    <row r="41" spans="1:29" s="19" customFormat="1" ht="18" customHeight="1">
      <c r="A41" s="434" t="s">
        <v>200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9" s="19" customFormat="1" ht="15" customHeight="1">
      <c r="A42" s="432" t="s">
        <v>83</v>
      </c>
      <c r="B42" s="433"/>
      <c r="C42" s="242" t="s">
        <v>134</v>
      </c>
      <c r="D42" s="193"/>
      <c r="E42" s="193"/>
      <c r="F42" s="193"/>
      <c r="G42" s="193"/>
      <c r="H42" s="242" t="s">
        <v>135</v>
      </c>
      <c r="I42" s="193"/>
      <c r="J42" s="193"/>
      <c r="K42" s="418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9" s="19" customFormat="1" ht="15.75" customHeight="1">
      <c r="A43" s="432"/>
      <c r="B43" s="433"/>
      <c r="C43" s="244"/>
      <c r="D43" s="245"/>
      <c r="E43" s="245"/>
      <c r="F43" s="245"/>
      <c r="G43" s="245"/>
      <c r="H43" s="244"/>
      <c r="I43" s="245"/>
      <c r="J43" s="245"/>
      <c r="K43" s="44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9" s="19" customFormat="1" ht="24.95" customHeight="1">
      <c r="A44" s="170" t="s">
        <v>43</v>
      </c>
      <c r="B44" s="171"/>
      <c r="C44" s="172" t="s">
        <v>238</v>
      </c>
      <c r="D44" s="172"/>
      <c r="E44" s="172"/>
      <c r="F44" s="172"/>
      <c r="G44" s="172"/>
      <c r="H44" s="224" t="s">
        <v>136</v>
      </c>
      <c r="I44" s="225"/>
      <c r="J44" s="225"/>
      <c r="K44" s="226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9" s="19" customFormat="1" ht="24.95" customHeight="1">
      <c r="A45" s="179" t="s">
        <v>60</v>
      </c>
      <c r="B45" s="180"/>
      <c r="C45" s="181" t="s">
        <v>137</v>
      </c>
      <c r="D45" s="181"/>
      <c r="E45" s="181"/>
      <c r="F45" s="181"/>
      <c r="G45" s="181"/>
      <c r="H45" s="227"/>
      <c r="I45" s="228"/>
      <c r="J45" s="228"/>
      <c r="K45" s="229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  <c r="AC45" s="24"/>
    </row>
    <row r="46" spans="1:29" s="19" customFormat="1" ht="24.95" customHeight="1">
      <c r="A46" s="179" t="s">
        <v>61</v>
      </c>
      <c r="B46" s="180"/>
      <c r="C46" s="181" t="s">
        <v>137</v>
      </c>
      <c r="D46" s="181"/>
      <c r="E46" s="181"/>
      <c r="F46" s="181"/>
      <c r="G46" s="181"/>
      <c r="H46" s="227"/>
      <c r="I46" s="228"/>
      <c r="J46" s="228"/>
      <c r="K46" s="229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9" s="19" customFormat="1" ht="24.95" customHeight="1" thickBot="1">
      <c r="A47" s="175" t="s">
        <v>62</v>
      </c>
      <c r="B47" s="176"/>
      <c r="C47" s="177" t="s">
        <v>137</v>
      </c>
      <c r="D47" s="177"/>
      <c r="E47" s="177"/>
      <c r="F47" s="177"/>
      <c r="G47" s="177"/>
      <c r="H47" s="230"/>
      <c r="I47" s="231"/>
      <c r="J47" s="231"/>
      <c r="K47" s="232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9" s="19" customFormat="1" ht="12.95" customHeight="1">
      <c r="A48" s="431" t="s">
        <v>181</v>
      </c>
      <c r="B48" s="431"/>
      <c r="C48" s="431"/>
      <c r="D48" s="431"/>
      <c r="E48" s="431"/>
      <c r="F48" s="431"/>
      <c r="G48" s="20"/>
      <c r="H48" s="20"/>
      <c r="I48" s="20"/>
      <c r="J48" s="169" t="s">
        <v>50</v>
      </c>
      <c r="K48" s="169"/>
      <c r="L48" s="169"/>
      <c r="M48" s="169"/>
      <c r="N48" s="169"/>
      <c r="O48" s="169"/>
      <c r="P48" s="21"/>
      <c r="Q48" s="21"/>
      <c r="R48" s="21"/>
      <c r="S48" s="174" t="s">
        <v>51</v>
      </c>
      <c r="T48" s="174"/>
      <c r="U48" s="174"/>
      <c r="V48" s="174"/>
      <c r="W48" s="174"/>
    </row>
    <row r="49" spans="1:23" s="2" customFormat="1" ht="12.75" thickBo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>
      <c r="A50" s="258" t="s">
        <v>226</v>
      </c>
      <c r="B50" s="259"/>
      <c r="C50" s="259"/>
      <c r="D50" s="259"/>
      <c r="E50" s="259"/>
      <c r="F50" s="259"/>
      <c r="G50" s="259"/>
      <c r="H50" s="259"/>
      <c r="I50" s="259"/>
      <c r="J50" s="259"/>
      <c r="K50" s="259"/>
      <c r="L50" s="259"/>
      <c r="M50" s="259"/>
      <c r="N50" s="259"/>
      <c r="O50" s="259"/>
      <c r="P50" s="259"/>
      <c r="Q50" s="259"/>
      <c r="R50" s="259"/>
      <c r="S50" s="259"/>
      <c r="T50" s="259"/>
      <c r="U50" s="259"/>
      <c r="V50" s="259"/>
      <c r="W50" s="260"/>
    </row>
    <row r="51" spans="1:23" ht="14.25" thickBot="1">
      <c r="A51" s="261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3"/>
    </row>
    <row r="52" spans="1:23" ht="24.95" customHeight="1" thickBot="1">
      <c r="A52" s="264" t="s">
        <v>227</v>
      </c>
      <c r="B52" s="265"/>
      <c r="C52" s="266" t="s">
        <v>228</v>
      </c>
      <c r="D52" s="267"/>
      <c r="E52" s="267" t="s">
        <v>229</v>
      </c>
      <c r="F52" s="267"/>
      <c r="G52" s="267" t="s">
        <v>230</v>
      </c>
      <c r="H52" s="267"/>
      <c r="I52" s="267" t="s">
        <v>231</v>
      </c>
      <c r="J52" s="267"/>
      <c r="K52" s="267" t="s">
        <v>232</v>
      </c>
      <c r="L52" s="268"/>
      <c r="M52" s="269" t="s">
        <v>233</v>
      </c>
      <c r="N52" s="270"/>
      <c r="O52" s="270"/>
      <c r="P52" s="270"/>
      <c r="Q52" s="270"/>
      <c r="R52" s="270"/>
      <c r="S52" s="270"/>
      <c r="T52" s="270"/>
      <c r="U52" s="270"/>
      <c r="V52" s="270"/>
      <c r="W52" s="271"/>
    </row>
    <row r="53" spans="1:23" ht="24.95" customHeight="1">
      <c r="A53" s="552"/>
      <c r="B53" s="553"/>
      <c r="C53" s="554"/>
      <c r="D53" s="182"/>
      <c r="E53" s="182"/>
      <c r="F53" s="182"/>
      <c r="G53" s="182"/>
      <c r="H53" s="182"/>
      <c r="I53" s="182"/>
      <c r="J53" s="182"/>
      <c r="K53" s="182"/>
      <c r="L53" s="471"/>
      <c r="M53" s="472"/>
      <c r="N53" s="473"/>
      <c r="O53" s="473"/>
      <c r="P53" s="473"/>
      <c r="Q53" s="473"/>
      <c r="R53" s="473"/>
      <c r="S53" s="473"/>
      <c r="T53" s="473"/>
      <c r="U53" s="473"/>
      <c r="V53" s="473"/>
      <c r="W53" s="474"/>
    </row>
    <row r="54" spans="1:23" ht="24.95" customHeight="1">
      <c r="A54" s="153"/>
      <c r="B54" s="154"/>
      <c r="C54" s="155"/>
      <c r="D54" s="156"/>
      <c r="E54" s="156"/>
      <c r="F54" s="156"/>
      <c r="G54" s="156"/>
      <c r="H54" s="156"/>
      <c r="I54" s="156"/>
      <c r="J54" s="156"/>
      <c r="K54" s="156"/>
      <c r="L54" s="157"/>
      <c r="M54" s="158"/>
      <c r="N54" s="159"/>
      <c r="O54" s="159"/>
      <c r="P54" s="159"/>
      <c r="Q54" s="159"/>
      <c r="R54" s="159"/>
      <c r="S54" s="159"/>
      <c r="T54" s="159"/>
      <c r="U54" s="159"/>
      <c r="V54" s="159"/>
      <c r="W54" s="160"/>
    </row>
    <row r="55" spans="1:23" ht="24.95" customHeight="1">
      <c r="A55" s="153"/>
      <c r="B55" s="154"/>
      <c r="C55" s="155"/>
      <c r="D55" s="156"/>
      <c r="E55" s="156"/>
      <c r="F55" s="156"/>
      <c r="G55" s="156"/>
      <c r="H55" s="156"/>
      <c r="I55" s="156"/>
      <c r="J55" s="156"/>
      <c r="K55" s="156"/>
      <c r="L55" s="157"/>
      <c r="M55" s="158"/>
      <c r="N55" s="159"/>
      <c r="O55" s="159"/>
      <c r="P55" s="159"/>
      <c r="Q55" s="159"/>
      <c r="R55" s="159"/>
      <c r="S55" s="159"/>
      <c r="T55" s="159"/>
      <c r="U55" s="159"/>
      <c r="V55" s="159"/>
      <c r="W55" s="160"/>
    </row>
    <row r="56" spans="1:23" ht="24.95" customHeight="1">
      <c r="A56" s="153"/>
      <c r="B56" s="154"/>
      <c r="C56" s="155"/>
      <c r="D56" s="156"/>
      <c r="E56" s="156"/>
      <c r="F56" s="156"/>
      <c r="G56" s="156"/>
      <c r="H56" s="156"/>
      <c r="I56" s="156"/>
      <c r="J56" s="156"/>
      <c r="K56" s="156"/>
      <c r="L56" s="157"/>
      <c r="M56" s="158"/>
      <c r="N56" s="159"/>
      <c r="O56" s="159"/>
      <c r="P56" s="159"/>
      <c r="Q56" s="159"/>
      <c r="R56" s="159"/>
      <c r="S56" s="159"/>
      <c r="T56" s="159"/>
      <c r="U56" s="159"/>
      <c r="V56" s="159"/>
      <c r="W56" s="160"/>
    </row>
    <row r="57" spans="1:23" ht="24.95" customHeight="1">
      <c r="A57" s="153"/>
      <c r="B57" s="154"/>
      <c r="C57" s="155"/>
      <c r="D57" s="156"/>
      <c r="E57" s="156"/>
      <c r="F57" s="156"/>
      <c r="G57" s="156"/>
      <c r="H57" s="156"/>
      <c r="I57" s="156"/>
      <c r="J57" s="156"/>
      <c r="K57" s="156"/>
      <c r="L57" s="157"/>
      <c r="M57" s="158"/>
      <c r="N57" s="159"/>
      <c r="O57" s="159"/>
      <c r="P57" s="159"/>
      <c r="Q57" s="159"/>
      <c r="R57" s="159"/>
      <c r="S57" s="159"/>
      <c r="T57" s="159"/>
      <c r="U57" s="159"/>
      <c r="V57" s="159"/>
      <c r="W57" s="160"/>
    </row>
    <row r="58" spans="1:23" ht="24.95" customHeight="1">
      <c r="A58" s="153"/>
      <c r="B58" s="154"/>
      <c r="C58" s="155"/>
      <c r="D58" s="156"/>
      <c r="E58" s="156"/>
      <c r="F58" s="156"/>
      <c r="G58" s="156"/>
      <c r="H58" s="156"/>
      <c r="I58" s="156"/>
      <c r="J58" s="156"/>
      <c r="K58" s="156"/>
      <c r="L58" s="157"/>
      <c r="M58" s="158"/>
      <c r="N58" s="159"/>
      <c r="O58" s="159"/>
      <c r="P58" s="159"/>
      <c r="Q58" s="159"/>
      <c r="R58" s="159"/>
      <c r="S58" s="159"/>
      <c r="T58" s="159"/>
      <c r="U58" s="159"/>
      <c r="V58" s="159"/>
      <c r="W58" s="160"/>
    </row>
    <row r="59" spans="1:23" ht="24.95" customHeight="1">
      <c r="A59" s="153"/>
      <c r="B59" s="154"/>
      <c r="C59" s="155"/>
      <c r="D59" s="156"/>
      <c r="E59" s="156"/>
      <c r="F59" s="156"/>
      <c r="G59" s="156"/>
      <c r="H59" s="156"/>
      <c r="I59" s="156"/>
      <c r="J59" s="156"/>
      <c r="K59" s="156"/>
      <c r="L59" s="157"/>
      <c r="M59" s="158"/>
      <c r="N59" s="159"/>
      <c r="O59" s="159"/>
      <c r="P59" s="159"/>
      <c r="Q59" s="159"/>
      <c r="R59" s="159"/>
      <c r="S59" s="159"/>
      <c r="T59" s="159"/>
      <c r="U59" s="159"/>
      <c r="V59" s="159"/>
      <c r="W59" s="160"/>
    </row>
    <row r="60" spans="1:23" ht="24.95" customHeight="1">
      <c r="A60" s="153"/>
      <c r="B60" s="154"/>
      <c r="C60" s="155"/>
      <c r="D60" s="156"/>
      <c r="E60" s="156"/>
      <c r="F60" s="156"/>
      <c r="G60" s="156"/>
      <c r="H60" s="156"/>
      <c r="I60" s="156"/>
      <c r="J60" s="156"/>
      <c r="K60" s="156"/>
      <c r="L60" s="157"/>
      <c r="M60" s="158"/>
      <c r="N60" s="159"/>
      <c r="O60" s="159"/>
      <c r="P60" s="159"/>
      <c r="Q60" s="159"/>
      <c r="R60" s="159"/>
      <c r="S60" s="159"/>
      <c r="T60" s="159"/>
      <c r="U60" s="159"/>
      <c r="V60" s="159"/>
      <c r="W60" s="160"/>
    </row>
    <row r="61" spans="1:23" ht="24.95" customHeight="1">
      <c r="A61" s="153"/>
      <c r="B61" s="154"/>
      <c r="C61" s="155"/>
      <c r="D61" s="156"/>
      <c r="E61" s="156"/>
      <c r="F61" s="156"/>
      <c r="G61" s="156"/>
      <c r="H61" s="156"/>
      <c r="I61" s="156"/>
      <c r="J61" s="156"/>
      <c r="K61" s="156"/>
      <c r="L61" s="157"/>
      <c r="M61" s="158"/>
      <c r="N61" s="159"/>
      <c r="O61" s="159"/>
      <c r="P61" s="159"/>
      <c r="Q61" s="159"/>
      <c r="R61" s="159"/>
      <c r="S61" s="159"/>
      <c r="T61" s="159"/>
      <c r="U61" s="159"/>
      <c r="V61" s="159"/>
      <c r="W61" s="160"/>
    </row>
    <row r="62" spans="1:23" ht="24.95" customHeight="1">
      <c r="A62" s="153"/>
      <c r="B62" s="154"/>
      <c r="C62" s="155"/>
      <c r="D62" s="156"/>
      <c r="E62" s="156"/>
      <c r="F62" s="156"/>
      <c r="G62" s="156"/>
      <c r="H62" s="156"/>
      <c r="I62" s="156"/>
      <c r="J62" s="156"/>
      <c r="K62" s="156"/>
      <c r="L62" s="157"/>
      <c r="M62" s="158"/>
      <c r="N62" s="159"/>
      <c r="O62" s="159"/>
      <c r="P62" s="159"/>
      <c r="Q62" s="159"/>
      <c r="R62" s="159"/>
      <c r="S62" s="159"/>
      <c r="T62" s="159"/>
      <c r="U62" s="159"/>
      <c r="V62" s="159"/>
      <c r="W62" s="160"/>
    </row>
    <row r="63" spans="1:23" ht="24.95" customHeight="1">
      <c r="A63" s="153"/>
      <c r="B63" s="154"/>
      <c r="C63" s="155"/>
      <c r="D63" s="156"/>
      <c r="E63" s="156"/>
      <c r="F63" s="156"/>
      <c r="G63" s="156"/>
      <c r="H63" s="156"/>
      <c r="I63" s="156"/>
      <c r="J63" s="156"/>
      <c r="K63" s="156"/>
      <c r="L63" s="157"/>
      <c r="M63" s="158"/>
      <c r="N63" s="159"/>
      <c r="O63" s="159"/>
      <c r="P63" s="159"/>
      <c r="Q63" s="159"/>
      <c r="R63" s="159"/>
      <c r="S63" s="159"/>
      <c r="T63" s="159"/>
      <c r="U63" s="159"/>
      <c r="V63" s="159"/>
      <c r="W63" s="160"/>
    </row>
    <row r="64" spans="1:23" ht="24.95" customHeight="1">
      <c r="A64" s="153"/>
      <c r="B64" s="154"/>
      <c r="C64" s="155"/>
      <c r="D64" s="156"/>
      <c r="E64" s="156"/>
      <c r="F64" s="156"/>
      <c r="G64" s="156"/>
      <c r="H64" s="156"/>
      <c r="I64" s="156"/>
      <c r="J64" s="156"/>
      <c r="K64" s="156"/>
      <c r="L64" s="157"/>
      <c r="M64" s="158"/>
      <c r="N64" s="159"/>
      <c r="O64" s="159"/>
      <c r="P64" s="159"/>
      <c r="Q64" s="159"/>
      <c r="R64" s="159"/>
      <c r="S64" s="159"/>
      <c r="T64" s="159"/>
      <c r="U64" s="159"/>
      <c r="V64" s="159"/>
      <c r="W64" s="160"/>
    </row>
    <row r="65" spans="1:23" ht="24.95" customHeight="1">
      <c r="A65" s="153"/>
      <c r="B65" s="154"/>
      <c r="C65" s="155"/>
      <c r="D65" s="156"/>
      <c r="E65" s="156"/>
      <c r="F65" s="156"/>
      <c r="G65" s="156"/>
      <c r="H65" s="156"/>
      <c r="I65" s="156"/>
      <c r="J65" s="156"/>
      <c r="K65" s="156"/>
      <c r="L65" s="157"/>
      <c r="M65" s="158"/>
      <c r="N65" s="159"/>
      <c r="O65" s="159"/>
      <c r="P65" s="159"/>
      <c r="Q65" s="159"/>
      <c r="R65" s="159"/>
      <c r="S65" s="159"/>
      <c r="T65" s="159"/>
      <c r="U65" s="159"/>
      <c r="V65" s="159"/>
      <c r="W65" s="160"/>
    </row>
    <row r="66" spans="1:23" ht="24.95" customHeight="1">
      <c r="A66" s="153"/>
      <c r="B66" s="154"/>
      <c r="C66" s="155"/>
      <c r="D66" s="156"/>
      <c r="E66" s="156"/>
      <c r="F66" s="156"/>
      <c r="G66" s="156"/>
      <c r="H66" s="156"/>
      <c r="I66" s="156"/>
      <c r="J66" s="156"/>
      <c r="K66" s="156"/>
      <c r="L66" s="157"/>
      <c r="M66" s="158"/>
      <c r="N66" s="159"/>
      <c r="O66" s="159"/>
      <c r="P66" s="159"/>
      <c r="Q66" s="159"/>
      <c r="R66" s="159"/>
      <c r="S66" s="159"/>
      <c r="T66" s="159"/>
      <c r="U66" s="159"/>
      <c r="V66" s="159"/>
      <c r="W66" s="160"/>
    </row>
    <row r="67" spans="1:23" ht="24.95" customHeight="1">
      <c r="A67" s="153"/>
      <c r="B67" s="154"/>
      <c r="C67" s="155"/>
      <c r="D67" s="156"/>
      <c r="E67" s="156"/>
      <c r="F67" s="156"/>
      <c r="G67" s="156"/>
      <c r="H67" s="156"/>
      <c r="I67" s="156"/>
      <c r="J67" s="156"/>
      <c r="K67" s="156"/>
      <c r="L67" s="157"/>
      <c r="M67" s="158"/>
      <c r="N67" s="159"/>
      <c r="O67" s="159"/>
      <c r="P67" s="159"/>
      <c r="Q67" s="159"/>
      <c r="R67" s="159"/>
      <c r="S67" s="159"/>
      <c r="T67" s="159"/>
      <c r="U67" s="159"/>
      <c r="V67" s="159"/>
      <c r="W67" s="160"/>
    </row>
    <row r="68" spans="1:23" ht="24.95" customHeight="1">
      <c r="A68" s="110"/>
      <c r="B68" s="113"/>
      <c r="C68" s="155"/>
      <c r="D68" s="156"/>
      <c r="E68" s="156"/>
      <c r="F68" s="156"/>
      <c r="G68" s="156"/>
      <c r="H68" s="156"/>
      <c r="I68" s="156"/>
      <c r="J68" s="156"/>
      <c r="K68" s="156"/>
      <c r="L68" s="157"/>
      <c r="M68" s="114"/>
      <c r="N68" s="111"/>
      <c r="O68" s="111"/>
      <c r="P68" s="111"/>
      <c r="Q68" s="111"/>
      <c r="R68" s="111"/>
      <c r="S68" s="111"/>
      <c r="T68" s="111"/>
      <c r="U68" s="111"/>
      <c r="V68" s="111"/>
      <c r="W68" s="112"/>
    </row>
    <row r="69" spans="1:23" ht="24.95" customHeight="1">
      <c r="A69" s="153"/>
      <c r="B69" s="154"/>
      <c r="C69" s="155"/>
      <c r="D69" s="156"/>
      <c r="E69" s="156"/>
      <c r="F69" s="156"/>
      <c r="G69" s="156"/>
      <c r="H69" s="156"/>
      <c r="I69" s="156"/>
      <c r="J69" s="156"/>
      <c r="K69" s="156"/>
      <c r="L69" s="157"/>
      <c r="M69" s="158"/>
      <c r="N69" s="159"/>
      <c r="O69" s="159"/>
      <c r="P69" s="159"/>
      <c r="Q69" s="159"/>
      <c r="R69" s="159"/>
      <c r="S69" s="159"/>
      <c r="T69" s="159"/>
      <c r="U69" s="159"/>
      <c r="V69" s="159"/>
      <c r="W69" s="160"/>
    </row>
    <row r="70" spans="1:23" ht="24.95" customHeight="1" thickBot="1">
      <c r="A70" s="161"/>
      <c r="B70" s="162"/>
      <c r="C70" s="163"/>
      <c r="D70" s="164"/>
      <c r="E70" s="164"/>
      <c r="F70" s="164"/>
      <c r="G70" s="164"/>
      <c r="H70" s="164"/>
      <c r="I70" s="164"/>
      <c r="J70" s="164"/>
      <c r="K70" s="164"/>
      <c r="L70" s="165"/>
      <c r="M70" s="166"/>
      <c r="N70" s="167"/>
      <c r="O70" s="167"/>
      <c r="P70" s="167"/>
      <c r="Q70" s="167"/>
      <c r="R70" s="167"/>
      <c r="S70" s="167"/>
      <c r="T70" s="167"/>
      <c r="U70" s="167"/>
      <c r="V70" s="167"/>
      <c r="W70" s="168"/>
    </row>
    <row r="71" spans="1:23" ht="14.25" thickBot="1">
      <c r="A71" s="105"/>
      <c r="B71" s="106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6"/>
      <c r="S71" s="106"/>
      <c r="T71" s="106"/>
      <c r="U71" s="106"/>
      <c r="V71" s="108"/>
      <c r="W71" s="109"/>
    </row>
    <row r="72" spans="1:23" s="2" customFormat="1" ht="12" customHeight="1">
      <c r="A72" s="523" t="s">
        <v>147</v>
      </c>
      <c r="B72" s="524"/>
      <c r="C72" s="524"/>
      <c r="D72" s="524"/>
      <c r="E72" s="524"/>
      <c r="F72" s="524"/>
      <c r="G72" s="524"/>
      <c r="H72" s="524"/>
      <c r="I72" s="524"/>
      <c r="J72" s="524"/>
      <c r="K72" s="524"/>
      <c r="L72" s="524"/>
      <c r="M72" s="524"/>
      <c r="N72" s="524"/>
      <c r="O72" s="524"/>
      <c r="P72" s="524"/>
      <c r="Q72" s="524"/>
      <c r="R72" s="524"/>
      <c r="S72" s="524"/>
      <c r="T72" s="524"/>
      <c r="U72" s="524"/>
      <c r="V72" s="524"/>
      <c r="W72" s="525"/>
    </row>
    <row r="73" spans="1:23" s="2" customFormat="1" ht="33.75" customHeight="1">
      <c r="A73" s="526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8"/>
    </row>
    <row r="74" spans="1:23" s="2" customFormat="1" ht="13.5" customHeight="1">
      <c r="A74" s="512" t="s">
        <v>148</v>
      </c>
      <c r="B74" s="509"/>
      <c r="C74" s="509" t="s">
        <v>149</v>
      </c>
      <c r="D74" s="509"/>
      <c r="E74" s="509" t="s">
        <v>150</v>
      </c>
      <c r="F74" s="509"/>
      <c r="G74" s="509"/>
      <c r="H74" s="509"/>
      <c r="I74" s="509"/>
      <c r="J74" s="509"/>
      <c r="K74" s="509"/>
      <c r="L74" s="509"/>
      <c r="M74" s="509"/>
      <c r="N74" s="509"/>
      <c r="O74" s="509"/>
      <c r="P74" s="509"/>
      <c r="Q74" s="509"/>
      <c r="R74" s="509" t="s">
        <v>151</v>
      </c>
      <c r="S74" s="509"/>
      <c r="T74" s="509" t="s">
        <v>152</v>
      </c>
      <c r="U74" s="509"/>
      <c r="V74" s="509" t="s">
        <v>153</v>
      </c>
      <c r="W74" s="511"/>
    </row>
    <row r="75" spans="1:23" s="2" customFormat="1" ht="13.5" customHeight="1">
      <c r="A75" s="512"/>
      <c r="B75" s="509"/>
      <c r="C75" s="509"/>
      <c r="D75" s="509"/>
      <c r="E75" s="509"/>
      <c r="F75" s="509"/>
      <c r="G75" s="509"/>
      <c r="H75" s="509"/>
      <c r="I75" s="509"/>
      <c r="J75" s="509"/>
      <c r="K75" s="509"/>
      <c r="L75" s="509"/>
      <c r="M75" s="509"/>
      <c r="N75" s="509"/>
      <c r="O75" s="509"/>
      <c r="P75" s="509"/>
      <c r="Q75" s="509"/>
      <c r="R75" s="509"/>
      <c r="S75" s="509"/>
      <c r="T75" s="509"/>
      <c r="U75" s="509"/>
      <c r="V75" s="509"/>
      <c r="W75" s="511"/>
    </row>
    <row r="76" spans="1:23">
      <c r="A76" s="545" t="s">
        <v>154</v>
      </c>
      <c r="B76" s="546"/>
      <c r="C76" s="508" t="s">
        <v>155</v>
      </c>
      <c r="D76" s="508"/>
      <c r="E76" s="508" t="s">
        <v>156</v>
      </c>
      <c r="F76" s="508"/>
      <c r="G76" s="508"/>
      <c r="H76" s="508"/>
      <c r="I76" s="508"/>
      <c r="J76" s="508"/>
      <c r="K76" s="508"/>
      <c r="L76" s="508"/>
      <c r="M76" s="508"/>
      <c r="N76" s="508"/>
      <c r="O76" s="508"/>
      <c r="P76" s="508"/>
      <c r="Q76" s="508"/>
      <c r="R76" s="509" t="s">
        <v>157</v>
      </c>
      <c r="S76" s="509"/>
      <c r="T76" s="510"/>
      <c r="U76" s="510"/>
      <c r="V76" s="509" t="s">
        <v>158</v>
      </c>
      <c r="W76" s="511"/>
    </row>
    <row r="77" spans="1:23">
      <c r="A77" s="545"/>
      <c r="B77" s="546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9"/>
      <c r="S77" s="509"/>
      <c r="T77" s="510"/>
      <c r="U77" s="510"/>
      <c r="V77" s="509"/>
      <c r="W77" s="511"/>
    </row>
    <row r="78" spans="1:23" ht="13.5" customHeight="1">
      <c r="A78" s="512">
        <v>1</v>
      </c>
      <c r="B78" s="509"/>
      <c r="C78" s="508" t="s">
        <v>159</v>
      </c>
      <c r="D78" s="508"/>
      <c r="E78" s="544" t="s">
        <v>183</v>
      </c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09" t="s">
        <v>160</v>
      </c>
      <c r="S78" s="509"/>
      <c r="T78" s="510"/>
      <c r="U78" s="510"/>
      <c r="V78" s="509" t="s">
        <v>161</v>
      </c>
      <c r="W78" s="511"/>
    </row>
    <row r="79" spans="1:23" ht="13.5" customHeight="1">
      <c r="A79" s="512"/>
      <c r="B79" s="509"/>
      <c r="C79" s="508"/>
      <c r="D79" s="508"/>
      <c r="E79" s="544"/>
      <c r="F79" s="544"/>
      <c r="G79" s="544"/>
      <c r="H79" s="544"/>
      <c r="I79" s="544"/>
      <c r="J79" s="544"/>
      <c r="K79" s="544"/>
      <c r="L79" s="544"/>
      <c r="M79" s="544"/>
      <c r="N79" s="544"/>
      <c r="O79" s="544"/>
      <c r="P79" s="544"/>
      <c r="Q79" s="544"/>
      <c r="R79" s="509"/>
      <c r="S79" s="509"/>
      <c r="T79" s="510"/>
      <c r="U79" s="510"/>
      <c r="V79" s="509"/>
      <c r="W79" s="511"/>
    </row>
    <row r="80" spans="1:23">
      <c r="A80" s="512"/>
      <c r="B80" s="509"/>
      <c r="C80" s="508"/>
      <c r="D80" s="508"/>
      <c r="E80" s="544"/>
      <c r="F80" s="544"/>
      <c r="G80" s="544"/>
      <c r="H80" s="544"/>
      <c r="I80" s="544"/>
      <c r="J80" s="544"/>
      <c r="K80" s="544"/>
      <c r="L80" s="544"/>
      <c r="M80" s="544"/>
      <c r="N80" s="544"/>
      <c r="O80" s="544"/>
      <c r="P80" s="544"/>
      <c r="Q80" s="544"/>
      <c r="R80" s="509"/>
      <c r="S80" s="509"/>
      <c r="T80" s="510"/>
      <c r="U80" s="510"/>
      <c r="V80" s="509"/>
      <c r="W80" s="511"/>
    </row>
    <row r="81" spans="1:23">
      <c r="A81" s="512">
        <v>2</v>
      </c>
      <c r="B81" s="509"/>
      <c r="C81" s="508"/>
      <c r="D81" s="508"/>
      <c r="E81" s="542"/>
      <c r="F81" s="542"/>
      <c r="G81" s="542"/>
      <c r="H81" s="542"/>
      <c r="I81" s="542"/>
      <c r="J81" s="542"/>
      <c r="K81" s="542"/>
      <c r="L81" s="542"/>
      <c r="M81" s="542"/>
      <c r="N81" s="542"/>
      <c r="O81" s="542"/>
      <c r="P81" s="542"/>
      <c r="Q81" s="542"/>
      <c r="R81" s="509"/>
      <c r="S81" s="509"/>
      <c r="T81" s="509"/>
      <c r="U81" s="509"/>
      <c r="V81" s="542"/>
      <c r="W81" s="543"/>
    </row>
    <row r="82" spans="1:23">
      <c r="A82" s="512"/>
      <c r="B82" s="509"/>
      <c r="C82" s="508"/>
      <c r="D82" s="508"/>
      <c r="E82" s="542"/>
      <c r="F82" s="542"/>
      <c r="G82" s="542"/>
      <c r="H82" s="542"/>
      <c r="I82" s="542"/>
      <c r="J82" s="542"/>
      <c r="K82" s="542"/>
      <c r="L82" s="542"/>
      <c r="M82" s="542"/>
      <c r="N82" s="542"/>
      <c r="O82" s="542"/>
      <c r="P82" s="542"/>
      <c r="Q82" s="542"/>
      <c r="R82" s="509"/>
      <c r="S82" s="509"/>
      <c r="T82" s="509"/>
      <c r="U82" s="509"/>
      <c r="V82" s="542"/>
      <c r="W82" s="543"/>
    </row>
    <row r="83" spans="1:23">
      <c r="A83" s="512">
        <v>3</v>
      </c>
      <c r="B83" s="509"/>
      <c r="C83" s="508"/>
      <c r="D83" s="508"/>
      <c r="E83" s="542"/>
      <c r="F83" s="542"/>
      <c r="G83" s="542"/>
      <c r="H83" s="542"/>
      <c r="I83" s="542"/>
      <c r="J83" s="542"/>
      <c r="K83" s="542"/>
      <c r="L83" s="542"/>
      <c r="M83" s="542"/>
      <c r="N83" s="542"/>
      <c r="O83" s="542"/>
      <c r="P83" s="542"/>
      <c r="Q83" s="542"/>
      <c r="R83" s="509"/>
      <c r="S83" s="509"/>
      <c r="T83" s="509"/>
      <c r="U83" s="509"/>
      <c r="V83" s="542"/>
      <c r="W83" s="543"/>
    </row>
    <row r="84" spans="1:23">
      <c r="A84" s="512"/>
      <c r="B84" s="509"/>
      <c r="C84" s="508"/>
      <c r="D84" s="508"/>
      <c r="E84" s="542"/>
      <c r="F84" s="542"/>
      <c r="G84" s="542"/>
      <c r="H84" s="542"/>
      <c r="I84" s="542"/>
      <c r="J84" s="542"/>
      <c r="K84" s="542"/>
      <c r="L84" s="542"/>
      <c r="M84" s="542"/>
      <c r="N84" s="542"/>
      <c r="O84" s="542"/>
      <c r="P84" s="542"/>
      <c r="Q84" s="542"/>
      <c r="R84" s="509"/>
      <c r="S84" s="509"/>
      <c r="T84" s="509"/>
      <c r="U84" s="509"/>
      <c r="V84" s="542"/>
      <c r="W84" s="543"/>
    </row>
    <row r="85" spans="1:23">
      <c r="A85" s="512">
        <v>4</v>
      </c>
      <c r="B85" s="509"/>
      <c r="C85" s="508"/>
      <c r="D85" s="508"/>
      <c r="E85" s="542"/>
      <c r="F85" s="542"/>
      <c r="G85" s="542"/>
      <c r="H85" s="542"/>
      <c r="I85" s="542"/>
      <c r="J85" s="542"/>
      <c r="K85" s="542"/>
      <c r="L85" s="542"/>
      <c r="M85" s="542"/>
      <c r="N85" s="542"/>
      <c r="O85" s="542"/>
      <c r="P85" s="542"/>
      <c r="Q85" s="542"/>
      <c r="R85" s="509"/>
      <c r="S85" s="509"/>
      <c r="T85" s="509"/>
      <c r="U85" s="509"/>
      <c r="V85" s="542"/>
      <c r="W85" s="543"/>
    </row>
    <row r="86" spans="1:23">
      <c r="A86" s="512"/>
      <c r="B86" s="509"/>
      <c r="C86" s="508"/>
      <c r="D86" s="508"/>
      <c r="E86" s="542"/>
      <c r="F86" s="542"/>
      <c r="G86" s="542"/>
      <c r="H86" s="542"/>
      <c r="I86" s="542"/>
      <c r="J86" s="542"/>
      <c r="K86" s="542"/>
      <c r="L86" s="542"/>
      <c r="M86" s="542"/>
      <c r="N86" s="542"/>
      <c r="O86" s="542"/>
      <c r="P86" s="542"/>
      <c r="Q86" s="542"/>
      <c r="R86" s="509"/>
      <c r="S86" s="509"/>
      <c r="T86" s="509"/>
      <c r="U86" s="509"/>
      <c r="V86" s="542"/>
      <c r="W86" s="543"/>
    </row>
    <row r="87" spans="1:23">
      <c r="A87" s="512">
        <v>5</v>
      </c>
      <c r="B87" s="509"/>
      <c r="C87" s="508"/>
      <c r="D87" s="508"/>
      <c r="E87" s="542"/>
      <c r="F87" s="542"/>
      <c r="G87" s="542"/>
      <c r="H87" s="542"/>
      <c r="I87" s="542"/>
      <c r="J87" s="542"/>
      <c r="K87" s="542"/>
      <c r="L87" s="542"/>
      <c r="M87" s="542"/>
      <c r="N87" s="542"/>
      <c r="O87" s="542"/>
      <c r="P87" s="542"/>
      <c r="Q87" s="542"/>
      <c r="R87" s="509"/>
      <c r="S87" s="509"/>
      <c r="T87" s="509"/>
      <c r="U87" s="509"/>
      <c r="V87" s="542"/>
      <c r="W87" s="543"/>
    </row>
    <row r="88" spans="1:23" ht="14.25" thickBot="1">
      <c r="A88" s="547"/>
      <c r="B88" s="548"/>
      <c r="C88" s="549"/>
      <c r="D88" s="549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48"/>
      <c r="S88" s="548"/>
      <c r="T88" s="548"/>
      <c r="U88" s="548"/>
      <c r="V88" s="550"/>
      <c r="W88" s="551"/>
    </row>
  </sheetData>
  <mergeCells count="350">
    <mergeCell ref="A87:B88"/>
    <mergeCell ref="C87:D88"/>
    <mergeCell ref="E87:Q88"/>
    <mergeCell ref="R87:S88"/>
    <mergeCell ref="T87:U88"/>
    <mergeCell ref="V87:W88"/>
    <mergeCell ref="A53:B53"/>
    <mergeCell ref="C53:D53"/>
    <mergeCell ref="E53:F53"/>
    <mergeCell ref="G53:H53"/>
    <mergeCell ref="A57:B57"/>
    <mergeCell ref="C57:D57"/>
    <mergeCell ref="E57:F57"/>
    <mergeCell ref="G57:H57"/>
    <mergeCell ref="I57:J57"/>
    <mergeCell ref="K57:L57"/>
    <mergeCell ref="M57:W57"/>
    <mergeCell ref="A58:B58"/>
    <mergeCell ref="C58:D58"/>
    <mergeCell ref="E58:F58"/>
    <mergeCell ref="A83:B84"/>
    <mergeCell ref="C83:D84"/>
    <mergeCell ref="E83:Q84"/>
    <mergeCell ref="R83:S84"/>
    <mergeCell ref="T83:U84"/>
    <mergeCell ref="V83:W84"/>
    <mergeCell ref="E74:Q75"/>
    <mergeCell ref="A85:B86"/>
    <mergeCell ref="C85:D86"/>
    <mergeCell ref="E85:Q86"/>
    <mergeCell ref="R85:S86"/>
    <mergeCell ref="T85:U86"/>
    <mergeCell ref="V85:W86"/>
    <mergeCell ref="A78:B80"/>
    <mergeCell ref="C78:D80"/>
    <mergeCell ref="E78:Q80"/>
    <mergeCell ref="R78:S80"/>
    <mergeCell ref="T78:U80"/>
    <mergeCell ref="V78:W80"/>
    <mergeCell ref="A81:B82"/>
    <mergeCell ref="C81:D82"/>
    <mergeCell ref="E81:Q82"/>
    <mergeCell ref="R81:S82"/>
    <mergeCell ref="T81:U82"/>
    <mergeCell ref="V81:W82"/>
    <mergeCell ref="T74:U75"/>
    <mergeCell ref="V74:W75"/>
    <mergeCell ref="A76:B77"/>
    <mergeCell ref="C76:D77"/>
    <mergeCell ref="E76:Q77"/>
    <mergeCell ref="R76:S77"/>
    <mergeCell ref="T76:U77"/>
    <mergeCell ref="V76:W77"/>
    <mergeCell ref="A74:B75"/>
    <mergeCell ref="C74:D75"/>
    <mergeCell ref="R28:T28"/>
    <mergeCell ref="A54:B54"/>
    <mergeCell ref="C54:D54"/>
    <mergeCell ref="E54:F54"/>
    <mergeCell ref="L42:M43"/>
    <mergeCell ref="N37:W37"/>
    <mergeCell ref="N38:W38"/>
    <mergeCell ref="N39:W39"/>
    <mergeCell ref="N40:W40"/>
    <mergeCell ref="A72:W73"/>
    <mergeCell ref="R30:T31"/>
    <mergeCell ref="R74:S75"/>
    <mergeCell ref="N34:W34"/>
    <mergeCell ref="V32:W33"/>
    <mergeCell ref="N27:N31"/>
    <mergeCell ref="N32:R33"/>
    <mergeCell ref="A55:B55"/>
    <mergeCell ref="K53:L53"/>
    <mergeCell ref="M53:W53"/>
    <mergeCell ref="G15:L15"/>
    <mergeCell ref="G18:I18"/>
    <mergeCell ref="J18:L18"/>
    <mergeCell ref="A16:B18"/>
    <mergeCell ref="D21:F21"/>
    <mergeCell ref="G21:L21"/>
    <mergeCell ref="G16:I16"/>
    <mergeCell ref="A22:C22"/>
    <mergeCell ref="D22:Q22"/>
    <mergeCell ref="M16:N16"/>
    <mergeCell ref="G20:I20"/>
    <mergeCell ref="J20:L20"/>
    <mergeCell ref="A19:C19"/>
    <mergeCell ref="D19:F19"/>
    <mergeCell ref="G19:I19"/>
    <mergeCell ref="J19:L19"/>
    <mergeCell ref="M17:N19"/>
    <mergeCell ref="D18:F18"/>
    <mergeCell ref="A20:C20"/>
    <mergeCell ref="D20:F20"/>
    <mergeCell ref="A21:C21"/>
    <mergeCell ref="A28:M29"/>
    <mergeCell ref="A48:F48"/>
    <mergeCell ref="A42:B43"/>
    <mergeCell ref="A41:W41"/>
    <mergeCell ref="N35:W36"/>
    <mergeCell ref="C42:G43"/>
    <mergeCell ref="H42:K43"/>
    <mergeCell ref="O26:P27"/>
    <mergeCell ref="N4:O5"/>
    <mergeCell ref="A10:C10"/>
    <mergeCell ref="D10:E10"/>
    <mergeCell ref="N10:Q11"/>
    <mergeCell ref="K7:L8"/>
    <mergeCell ref="M7:M8"/>
    <mergeCell ref="U6:W6"/>
    <mergeCell ref="S6:T6"/>
    <mergeCell ref="P6:R6"/>
    <mergeCell ref="A5:B5"/>
    <mergeCell ref="C5:G5"/>
    <mergeCell ref="H5:I5"/>
    <mergeCell ref="J5:M5"/>
    <mergeCell ref="A6:C6"/>
    <mergeCell ref="D6:F6"/>
    <mergeCell ref="G6:I6"/>
    <mergeCell ref="J6:L6"/>
    <mergeCell ref="M6:O6"/>
    <mergeCell ref="B7:C8"/>
    <mergeCell ref="U8:W9"/>
    <mergeCell ref="S7:T7"/>
    <mergeCell ref="U7:W7"/>
    <mergeCell ref="P7:P8"/>
    <mergeCell ref="Q7:R8"/>
    <mergeCell ref="U15:W16"/>
    <mergeCell ref="A9:E9"/>
    <mergeCell ref="F9:L9"/>
    <mergeCell ref="M9:R9"/>
    <mergeCell ref="A7:A8"/>
    <mergeCell ref="U14:W14"/>
    <mergeCell ref="J16:L16"/>
    <mergeCell ref="K10:M11"/>
    <mergeCell ref="D7:D8"/>
    <mergeCell ref="S8:T9"/>
    <mergeCell ref="O12:P13"/>
    <mergeCell ref="E7:F8"/>
    <mergeCell ref="G7:G8"/>
    <mergeCell ref="H7:I8"/>
    <mergeCell ref="A11:E11"/>
    <mergeCell ref="H11:J11"/>
    <mergeCell ref="H10:I10"/>
    <mergeCell ref="N1:O2"/>
    <mergeCell ref="P1:W2"/>
    <mergeCell ref="A3:C3"/>
    <mergeCell ref="N3:O3"/>
    <mergeCell ref="P3:R3"/>
    <mergeCell ref="S3:W3"/>
    <mergeCell ref="D3:G3"/>
    <mergeCell ref="A1:H2"/>
    <mergeCell ref="A4:B4"/>
    <mergeCell ref="K1:M2"/>
    <mergeCell ref="I1:J2"/>
    <mergeCell ref="C4:G4"/>
    <mergeCell ref="H4:I4"/>
    <mergeCell ref="J4:M4"/>
    <mergeCell ref="V4:W5"/>
    <mergeCell ref="P4:U5"/>
    <mergeCell ref="S19:W19"/>
    <mergeCell ref="O20:Q20"/>
    <mergeCell ref="S20:T20"/>
    <mergeCell ref="U20:W20"/>
    <mergeCell ref="O19:Q19"/>
    <mergeCell ref="T22:V22"/>
    <mergeCell ref="Q25:Q26"/>
    <mergeCell ref="Q27:Q31"/>
    <mergeCell ref="T24:V24"/>
    <mergeCell ref="W23:W24"/>
    <mergeCell ref="D23:Q23"/>
    <mergeCell ref="G25:H27"/>
    <mergeCell ref="D26:F26"/>
    <mergeCell ref="D27:F27"/>
    <mergeCell ref="O28:P31"/>
    <mergeCell ref="U27:W27"/>
    <mergeCell ref="U28:W28"/>
    <mergeCell ref="U29:W29"/>
    <mergeCell ref="R29:T29"/>
    <mergeCell ref="I26:K26"/>
    <mergeCell ref="I27:K27"/>
    <mergeCell ref="R27:T27"/>
    <mergeCell ref="U30:W31"/>
    <mergeCell ref="F10:G11"/>
    <mergeCell ref="R10:W10"/>
    <mergeCell ref="R11:T11"/>
    <mergeCell ref="U11:W11"/>
    <mergeCell ref="U12:W13"/>
    <mergeCell ref="S12:T13"/>
    <mergeCell ref="N7:O8"/>
    <mergeCell ref="J7:J8"/>
    <mergeCell ref="S14:T14"/>
    <mergeCell ref="S15:T16"/>
    <mergeCell ref="B12:C13"/>
    <mergeCell ref="F12:F13"/>
    <mergeCell ref="N42:W43"/>
    <mergeCell ref="N44:W47"/>
    <mergeCell ref="L45:M46"/>
    <mergeCell ref="A50:W51"/>
    <mergeCell ref="A52:B52"/>
    <mergeCell ref="C52:D52"/>
    <mergeCell ref="E52:F52"/>
    <mergeCell ref="G52:H52"/>
    <mergeCell ref="I52:J52"/>
    <mergeCell ref="K52:L52"/>
    <mergeCell ref="M52:W52"/>
    <mergeCell ref="D16:F16"/>
    <mergeCell ref="K12:K13"/>
    <mergeCell ref="L12:M13"/>
    <mergeCell ref="S21:T21"/>
    <mergeCell ref="O18:Q18"/>
    <mergeCell ref="O16:Q16"/>
    <mergeCell ref="O17:Q17"/>
    <mergeCell ref="M21:Q21"/>
    <mergeCell ref="I12:J13"/>
    <mergeCell ref="S17:W17"/>
    <mergeCell ref="S18:W18"/>
    <mergeCell ref="G54:H54"/>
    <mergeCell ref="I54:J54"/>
    <mergeCell ref="K54:L54"/>
    <mergeCell ref="M54:W54"/>
    <mergeCell ref="S23:S24"/>
    <mergeCell ref="A25:B27"/>
    <mergeCell ref="D24:F24"/>
    <mergeCell ref="A23:C23"/>
    <mergeCell ref="S32:S33"/>
    <mergeCell ref="T32:U33"/>
    <mergeCell ref="R25:S26"/>
    <mergeCell ref="T25:T26"/>
    <mergeCell ref="U25:V26"/>
    <mergeCell ref="W25:W26"/>
    <mergeCell ref="L25:L27"/>
    <mergeCell ref="N25:N26"/>
    <mergeCell ref="O25:P25"/>
    <mergeCell ref="D25:F25"/>
    <mergeCell ref="H44:K47"/>
    <mergeCell ref="A45:B45"/>
    <mergeCell ref="C45:G45"/>
    <mergeCell ref="I25:K25"/>
    <mergeCell ref="U21:W21"/>
    <mergeCell ref="A56:B56"/>
    <mergeCell ref="C56:D56"/>
    <mergeCell ref="E56:F56"/>
    <mergeCell ref="G56:H56"/>
    <mergeCell ref="I56:J56"/>
    <mergeCell ref="K56:L56"/>
    <mergeCell ref="M56:W56"/>
    <mergeCell ref="J48:O48"/>
    <mergeCell ref="A44:B44"/>
    <mergeCell ref="C44:G44"/>
    <mergeCell ref="L44:M44"/>
    <mergeCell ref="S48:W48"/>
    <mergeCell ref="A47:B47"/>
    <mergeCell ref="C47:G47"/>
    <mergeCell ref="L47:M47"/>
    <mergeCell ref="A46:B46"/>
    <mergeCell ref="C46:G46"/>
    <mergeCell ref="C55:D55"/>
    <mergeCell ref="E55:F55"/>
    <mergeCell ref="G55:H55"/>
    <mergeCell ref="I55:J55"/>
    <mergeCell ref="K55:L55"/>
    <mergeCell ref="M55:W55"/>
    <mergeCell ref="I53:J53"/>
    <mergeCell ref="G58:H58"/>
    <mergeCell ref="I58:J58"/>
    <mergeCell ref="K58:L58"/>
    <mergeCell ref="M58:W58"/>
    <mergeCell ref="A59:B59"/>
    <mergeCell ref="C59:D59"/>
    <mergeCell ref="E59:F59"/>
    <mergeCell ref="G59:H59"/>
    <mergeCell ref="I59:J59"/>
    <mergeCell ref="K59:L59"/>
    <mergeCell ref="M59:W59"/>
    <mergeCell ref="A60:B60"/>
    <mergeCell ref="C60:D60"/>
    <mergeCell ref="E60:F60"/>
    <mergeCell ref="G60:H60"/>
    <mergeCell ref="I60:J60"/>
    <mergeCell ref="K60:L60"/>
    <mergeCell ref="M60:W60"/>
    <mergeCell ref="C61:D61"/>
    <mergeCell ref="E61:F61"/>
    <mergeCell ref="G61:H61"/>
    <mergeCell ref="I61:J61"/>
    <mergeCell ref="K61:L61"/>
    <mergeCell ref="M61:W61"/>
    <mergeCell ref="A61:B61"/>
    <mergeCell ref="A62:B62"/>
    <mergeCell ref="C62:D62"/>
    <mergeCell ref="E62:F62"/>
    <mergeCell ref="G62:H62"/>
    <mergeCell ref="I62:J62"/>
    <mergeCell ref="K62:L62"/>
    <mergeCell ref="M62:W62"/>
    <mergeCell ref="M69:W69"/>
    <mergeCell ref="A70:B70"/>
    <mergeCell ref="C70:D70"/>
    <mergeCell ref="E70:F70"/>
    <mergeCell ref="G70:H70"/>
    <mergeCell ref="I70:J70"/>
    <mergeCell ref="K70:L70"/>
    <mergeCell ref="M70:W70"/>
    <mergeCell ref="A66:B66"/>
    <mergeCell ref="C66:D66"/>
    <mergeCell ref="E66:F66"/>
    <mergeCell ref="G66:H66"/>
    <mergeCell ref="I66:J66"/>
    <mergeCell ref="K66:L66"/>
    <mergeCell ref="M66:W66"/>
    <mergeCell ref="A67:B67"/>
    <mergeCell ref="C67:D67"/>
    <mergeCell ref="M67:W67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K69:L69"/>
    <mergeCell ref="E67:F67"/>
    <mergeCell ref="G67:H67"/>
    <mergeCell ref="I67:J67"/>
    <mergeCell ref="K67:L67"/>
    <mergeCell ref="A65:B65"/>
    <mergeCell ref="C65:D65"/>
    <mergeCell ref="E65:F65"/>
    <mergeCell ref="G65:H65"/>
    <mergeCell ref="I65:J65"/>
    <mergeCell ref="K65:L65"/>
    <mergeCell ref="M65:W65"/>
    <mergeCell ref="A63:B63"/>
    <mergeCell ref="C63:D63"/>
    <mergeCell ref="E63:F63"/>
    <mergeCell ref="G63:H63"/>
    <mergeCell ref="I63:J63"/>
    <mergeCell ref="K63:L63"/>
    <mergeCell ref="M63:W63"/>
    <mergeCell ref="A64:B64"/>
    <mergeCell ref="C64:D64"/>
    <mergeCell ref="E64:F64"/>
    <mergeCell ref="G64:H64"/>
    <mergeCell ref="I64:J64"/>
    <mergeCell ref="K64:L64"/>
    <mergeCell ref="M64:W64"/>
  </mergeCells>
  <phoneticPr fontId="3" type="noConversion"/>
  <conditionalFormatting sqref="G21:Q21">
    <cfRule type="cellIs" dxfId="4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AD88"/>
  <sheetViews>
    <sheetView showGridLines="0" showZeros="0" view="pageBreakPreview" zoomScale="85" zoomScaleNormal="100" zoomScaleSheetLayoutView="85" workbookViewId="0">
      <selection activeCell="O20" sqref="O20:Q20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30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371" t="s">
        <v>223</v>
      </c>
      <c r="J1" s="372"/>
      <c r="K1" s="365">
        <f>sheet1!K1</f>
        <v>0</v>
      </c>
      <c r="L1" s="366"/>
      <c r="M1" s="367"/>
      <c r="N1" s="343" t="s">
        <v>6</v>
      </c>
      <c r="O1" s="344"/>
      <c r="P1" s="347" t="str">
        <f>sheet1!P1</f>
        <v>000000-00-00-00</v>
      </c>
      <c r="Q1" s="347"/>
      <c r="R1" s="347"/>
      <c r="S1" s="347"/>
      <c r="T1" s="347"/>
      <c r="U1" s="347"/>
      <c r="V1" s="347"/>
      <c r="W1" s="348"/>
    </row>
    <row r="2" spans="1:30" ht="20.100000000000001" customHeight="1" thickBot="1">
      <c r="A2" s="362"/>
      <c r="B2" s="349"/>
      <c r="C2" s="349"/>
      <c r="D2" s="349"/>
      <c r="E2" s="349"/>
      <c r="F2" s="349"/>
      <c r="G2" s="349"/>
      <c r="H2" s="349"/>
      <c r="I2" s="373"/>
      <c r="J2" s="374"/>
      <c r="K2" s="368"/>
      <c r="L2" s="369"/>
      <c r="M2" s="370"/>
      <c r="N2" s="345"/>
      <c r="O2" s="346"/>
      <c r="P2" s="349"/>
      <c r="Q2" s="349"/>
      <c r="R2" s="349"/>
      <c r="S2" s="349"/>
      <c r="T2" s="349"/>
      <c r="U2" s="349"/>
      <c r="V2" s="349"/>
      <c r="W2" s="350"/>
    </row>
    <row r="3" spans="1:30" s="2" customFormat="1" ht="15" customHeight="1">
      <c r="A3" s="351" t="s">
        <v>0</v>
      </c>
      <c r="B3" s="352"/>
      <c r="C3" s="352"/>
      <c r="D3" s="360">
        <f>sheet1!D3</f>
        <v>0</v>
      </c>
      <c r="E3" s="360"/>
      <c r="F3" s="360"/>
      <c r="G3" s="360"/>
      <c r="H3" s="1"/>
      <c r="I3" s="1"/>
      <c r="J3" s="1"/>
      <c r="K3" s="1"/>
      <c r="L3" s="1"/>
      <c r="M3" s="1"/>
      <c r="N3" s="353" t="s">
        <v>1</v>
      </c>
      <c r="O3" s="354"/>
      <c r="P3" s="355">
        <f>sheet1!P3</f>
        <v>0</v>
      </c>
      <c r="Q3" s="352"/>
      <c r="R3" s="356"/>
      <c r="S3" s="357" t="s">
        <v>121</v>
      </c>
      <c r="T3" s="358"/>
      <c r="U3" s="358"/>
      <c r="V3" s="358"/>
      <c r="W3" s="359"/>
    </row>
    <row r="4" spans="1:30" s="2" customFormat="1" ht="24.95" customHeight="1">
      <c r="A4" s="363" t="s">
        <v>2</v>
      </c>
      <c r="B4" s="364"/>
      <c r="C4" s="375">
        <f>sheet1!C4</f>
        <v>0</v>
      </c>
      <c r="D4" s="376"/>
      <c r="E4" s="376"/>
      <c r="F4" s="376"/>
      <c r="G4" s="377"/>
      <c r="H4" s="364" t="s">
        <v>3</v>
      </c>
      <c r="I4" s="364"/>
      <c r="J4" s="378">
        <f>sheet1!J4</f>
        <v>0</v>
      </c>
      <c r="K4" s="379"/>
      <c r="L4" s="379"/>
      <c r="M4" s="379"/>
      <c r="N4" s="445" t="s">
        <v>52</v>
      </c>
      <c r="O4" s="396"/>
      <c r="P4" s="384">
        <f>sheet1!P4</f>
        <v>0</v>
      </c>
      <c r="Q4" s="385"/>
      <c r="R4" s="385"/>
      <c r="S4" s="385"/>
      <c r="T4" s="385"/>
      <c r="U4" s="385"/>
      <c r="V4" s="380" t="str">
        <f>QRCode(sheet1!P1)</f>
        <v/>
      </c>
      <c r="W4" s="381"/>
      <c r="Y4" s="2" t="s">
        <v>53</v>
      </c>
      <c r="Z4" s="2" t="s">
        <v>54</v>
      </c>
      <c r="AA4" s="2" t="s">
        <v>55</v>
      </c>
    </row>
    <row r="5" spans="1:30" s="2" customFormat="1" ht="24.95" customHeight="1" thickBot="1">
      <c r="A5" s="460" t="s">
        <v>4</v>
      </c>
      <c r="B5" s="461"/>
      <c r="C5" s="462">
        <f>sheet1!C5</f>
        <v>0</v>
      </c>
      <c r="D5" s="463"/>
      <c r="E5" s="463"/>
      <c r="F5" s="463"/>
      <c r="G5" s="464"/>
      <c r="H5" s="465" t="s">
        <v>5</v>
      </c>
      <c r="I5" s="466"/>
      <c r="J5" s="467">
        <f>sheet1!J5</f>
        <v>0</v>
      </c>
      <c r="K5" s="468"/>
      <c r="L5" s="468"/>
      <c r="M5" s="468"/>
      <c r="N5" s="345"/>
      <c r="O5" s="346"/>
      <c r="P5" s="386"/>
      <c r="Q5" s="387"/>
      <c r="R5" s="387"/>
      <c r="S5" s="387"/>
      <c r="T5" s="387"/>
      <c r="U5" s="387"/>
      <c r="V5" s="382"/>
      <c r="W5" s="383"/>
      <c r="Z5" s="2" t="str">
        <f>MID(Y5,9,1)</f>
        <v/>
      </c>
      <c r="AA5" s="2" t="e">
        <f>Z5*1</f>
        <v>#VALUE!</v>
      </c>
    </row>
    <row r="6" spans="1:30" s="2" customFormat="1" ht="16.5" customHeight="1">
      <c r="A6" s="469" t="s">
        <v>179</v>
      </c>
      <c r="B6" s="388"/>
      <c r="C6" s="388"/>
      <c r="D6" s="458" t="s">
        <v>179</v>
      </c>
      <c r="E6" s="388"/>
      <c r="F6" s="470"/>
      <c r="G6" s="388" t="s">
        <v>179</v>
      </c>
      <c r="H6" s="388"/>
      <c r="I6" s="388"/>
      <c r="J6" s="458" t="s">
        <v>179</v>
      </c>
      <c r="K6" s="388"/>
      <c r="L6" s="470"/>
      <c r="M6" s="388" t="s">
        <v>179</v>
      </c>
      <c r="N6" s="388"/>
      <c r="O6" s="388"/>
      <c r="P6" s="458" t="s">
        <v>179</v>
      </c>
      <c r="Q6" s="388"/>
      <c r="R6" s="459"/>
      <c r="S6" s="456" t="s">
        <v>169</v>
      </c>
      <c r="T6" s="457"/>
      <c r="U6" s="453">
        <f>sheet1!U6</f>
        <v>0</v>
      </c>
      <c r="V6" s="454"/>
      <c r="W6" s="455"/>
    </row>
    <row r="7" spans="1:30" s="2" customFormat="1" ht="16.5" customHeight="1">
      <c r="A7" s="409" t="s">
        <v>64</v>
      </c>
      <c r="B7" s="300" t="s">
        <v>65</v>
      </c>
      <c r="C7" s="301"/>
      <c r="D7" s="304" t="s">
        <v>66</v>
      </c>
      <c r="E7" s="300" t="s">
        <v>67</v>
      </c>
      <c r="F7" s="420"/>
      <c r="G7" s="422" t="s">
        <v>68</v>
      </c>
      <c r="H7" s="300" t="s">
        <v>69</v>
      </c>
      <c r="I7" s="301"/>
      <c r="J7" s="304" t="s">
        <v>170</v>
      </c>
      <c r="K7" s="300" t="s">
        <v>86</v>
      </c>
      <c r="L7" s="420"/>
      <c r="M7" s="422" t="s">
        <v>71</v>
      </c>
      <c r="N7" s="300" t="s">
        <v>90</v>
      </c>
      <c r="O7" s="301"/>
      <c r="P7" s="304" t="s">
        <v>88</v>
      </c>
      <c r="Q7" s="300" t="s">
        <v>92</v>
      </c>
      <c r="R7" s="400"/>
      <c r="S7" s="395" t="s">
        <v>171</v>
      </c>
      <c r="T7" s="396"/>
      <c r="U7" s="397">
        <f>sheet1!U7</f>
        <v>0</v>
      </c>
      <c r="V7" s="398"/>
      <c r="W7" s="399"/>
      <c r="Y7" s="2" t="s">
        <v>241</v>
      </c>
      <c r="Z7" s="2" t="s">
        <v>242</v>
      </c>
      <c r="AA7" s="2" t="s">
        <v>243</v>
      </c>
      <c r="AB7" s="2" t="s">
        <v>244</v>
      </c>
      <c r="AC7" s="2" t="s">
        <v>245</v>
      </c>
      <c r="AD7" s="2" t="s">
        <v>246</v>
      </c>
    </row>
    <row r="8" spans="1:30" s="2" customFormat="1" ht="16.5" customHeight="1">
      <c r="A8" s="410"/>
      <c r="B8" s="302"/>
      <c r="C8" s="303"/>
      <c r="D8" s="305"/>
      <c r="E8" s="302"/>
      <c r="F8" s="421"/>
      <c r="G8" s="423"/>
      <c r="H8" s="302"/>
      <c r="I8" s="303"/>
      <c r="J8" s="305"/>
      <c r="K8" s="302"/>
      <c r="L8" s="421"/>
      <c r="M8" s="423"/>
      <c r="N8" s="302"/>
      <c r="O8" s="303"/>
      <c r="P8" s="305"/>
      <c r="Q8" s="302"/>
      <c r="R8" s="401"/>
      <c r="S8" s="417" t="s">
        <v>139</v>
      </c>
      <c r="T8" s="418"/>
      <c r="U8" s="389"/>
      <c r="V8" s="390"/>
      <c r="W8" s="391"/>
      <c r="Z8" s="2">
        <v>0</v>
      </c>
      <c r="AA8" s="4">
        <v>0</v>
      </c>
      <c r="AB8" s="4">
        <v>0</v>
      </c>
      <c r="AC8" s="2">
        <v>1</v>
      </c>
      <c r="AD8" s="2">
        <v>1</v>
      </c>
    </row>
    <row r="9" spans="1:30" s="2" customFormat="1" ht="16.5" customHeight="1" thickBot="1">
      <c r="A9" s="319" t="s">
        <v>172</v>
      </c>
      <c r="B9" s="320"/>
      <c r="C9" s="320"/>
      <c r="D9" s="320"/>
      <c r="E9" s="320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275"/>
      <c r="T9" s="419"/>
      <c r="U9" s="392"/>
      <c r="V9" s="393"/>
      <c r="W9" s="394"/>
    </row>
    <row r="10" spans="1:30" s="4" customFormat="1" ht="15" customHeight="1">
      <c r="A10" s="238" t="s">
        <v>9</v>
      </c>
      <c r="B10" s="278"/>
      <c r="C10" s="278"/>
      <c r="D10" s="446" t="s">
        <v>144</v>
      </c>
      <c r="E10" s="446"/>
      <c r="F10" s="284" t="s">
        <v>175</v>
      </c>
      <c r="G10" s="285"/>
      <c r="H10" s="429" t="s">
        <v>140</v>
      </c>
      <c r="I10" s="430"/>
      <c r="J10" s="74"/>
      <c r="K10" s="414" t="s">
        <v>176</v>
      </c>
      <c r="L10" s="415"/>
      <c r="M10" s="415"/>
      <c r="N10" s="447" t="s">
        <v>193</v>
      </c>
      <c r="O10" s="448"/>
      <c r="P10" s="448"/>
      <c r="Q10" s="449"/>
      <c r="R10" s="287" t="s">
        <v>194</v>
      </c>
      <c r="S10" s="288"/>
      <c r="T10" s="288"/>
      <c r="U10" s="288"/>
      <c r="V10" s="288"/>
      <c r="W10" s="289"/>
    </row>
    <row r="11" spans="1:30" s="4" customFormat="1" ht="24" customHeight="1" thickBot="1">
      <c r="A11" s="424" t="s">
        <v>178</v>
      </c>
      <c r="B11" s="425"/>
      <c r="C11" s="425"/>
      <c r="D11" s="425"/>
      <c r="E11" s="405"/>
      <c r="F11" s="286"/>
      <c r="G11" s="286"/>
      <c r="H11" s="426"/>
      <c r="I11" s="427"/>
      <c r="J11" s="428"/>
      <c r="K11" s="416"/>
      <c r="L11" s="416"/>
      <c r="M11" s="416"/>
      <c r="N11" s="450"/>
      <c r="O11" s="451"/>
      <c r="P11" s="451"/>
      <c r="Q11" s="452"/>
      <c r="R11" s="290" t="s">
        <v>195</v>
      </c>
      <c r="S11" s="291"/>
      <c r="T11" s="291"/>
      <c r="U11" s="291" t="s">
        <v>196</v>
      </c>
      <c r="V11" s="291"/>
      <c r="W11" s="292"/>
    </row>
    <row r="12" spans="1:30" s="4" customFormat="1" ht="9.9499999999999993" customHeight="1">
      <c r="A12" s="92"/>
      <c r="B12" s="238"/>
      <c r="C12" s="239"/>
      <c r="D12" s="97"/>
      <c r="E12" s="90"/>
      <c r="F12" s="239"/>
      <c r="G12" s="97"/>
      <c r="H12" s="5"/>
      <c r="I12" s="238"/>
      <c r="J12" s="239"/>
      <c r="K12" s="273"/>
      <c r="L12" s="238"/>
      <c r="M12" s="239"/>
      <c r="N12" s="5"/>
      <c r="O12" s="238"/>
      <c r="P12" s="239"/>
      <c r="Q12" s="6"/>
      <c r="R12" s="7"/>
      <c r="S12" s="238" t="s">
        <v>10</v>
      </c>
      <c r="T12" s="299"/>
      <c r="U12" s="293" t="str">
        <f>sheet1!U12</f>
        <v>100℃±10℃</v>
      </c>
      <c r="V12" s="294"/>
      <c r="W12" s="295"/>
    </row>
    <row r="13" spans="1:30" s="4" customFormat="1" ht="9.9499999999999993" customHeight="1" thickBot="1">
      <c r="A13" s="92"/>
      <c r="B13" s="240"/>
      <c r="C13" s="241"/>
      <c r="D13" s="97"/>
      <c r="E13" s="93"/>
      <c r="F13" s="241"/>
      <c r="G13" s="97"/>
      <c r="H13" s="5"/>
      <c r="I13" s="240"/>
      <c r="J13" s="241"/>
      <c r="K13" s="273"/>
      <c r="L13" s="240"/>
      <c r="M13" s="241"/>
      <c r="N13" s="5"/>
      <c r="O13" s="240"/>
      <c r="P13" s="241"/>
      <c r="Q13" s="6"/>
      <c r="R13" s="7"/>
      <c r="S13" s="236"/>
      <c r="T13" s="237"/>
      <c r="U13" s="296"/>
      <c r="V13" s="297"/>
      <c r="W13" s="298"/>
    </row>
    <row r="14" spans="1:30" s="4" customFormat="1" ht="15" customHeight="1">
      <c r="A14" s="92"/>
      <c r="B14" s="91"/>
      <c r="C14" s="97"/>
      <c r="D14" s="97"/>
      <c r="E14" s="97"/>
      <c r="F14" s="6"/>
      <c r="G14" s="7"/>
      <c r="H14" s="7"/>
      <c r="I14" s="94"/>
      <c r="J14" s="97"/>
      <c r="K14" s="97"/>
      <c r="L14" s="94"/>
      <c r="M14" s="97"/>
      <c r="N14" s="97"/>
      <c r="O14" s="8"/>
      <c r="P14" s="97"/>
      <c r="Q14" s="97"/>
      <c r="R14" s="97"/>
      <c r="S14" s="306" t="s">
        <v>11</v>
      </c>
      <c r="T14" s="307"/>
      <c r="U14" s="411" t="str">
        <f>sheet1!U14</f>
        <v>40M</v>
      </c>
      <c r="V14" s="412"/>
      <c r="W14" s="413"/>
    </row>
    <row r="15" spans="1:30" s="4" customFormat="1" ht="20.100000000000001" customHeight="1" thickBot="1">
      <c r="A15" s="92"/>
      <c r="B15" s="94"/>
      <c r="C15" s="97"/>
      <c r="D15" s="97"/>
      <c r="E15" s="97"/>
      <c r="F15" s="96"/>
      <c r="G15" s="427" t="str">
        <f>sheet1!G15</f>
        <v>930℃±10℃</v>
      </c>
      <c r="H15" s="427"/>
      <c r="I15" s="427"/>
      <c r="J15" s="427"/>
      <c r="K15" s="427"/>
      <c r="L15" s="475"/>
      <c r="M15" s="97"/>
      <c r="N15" s="94"/>
      <c r="O15" s="97"/>
      <c r="P15" s="97"/>
      <c r="Q15" s="97"/>
      <c r="R15" s="97"/>
      <c r="S15" s="234" t="s">
        <v>12</v>
      </c>
      <c r="T15" s="235"/>
      <c r="U15" s="402" t="str">
        <f>sheet1!U15</f>
        <v>60Hz</v>
      </c>
      <c r="V15" s="403"/>
      <c r="W15" s="404"/>
    </row>
    <row r="16" spans="1:30" s="4" customFormat="1" ht="20.100000000000001" customHeight="1" thickBot="1">
      <c r="A16" s="476" t="s">
        <v>13</v>
      </c>
      <c r="B16" s="477"/>
      <c r="C16" s="98"/>
      <c r="D16" s="272"/>
      <c r="E16" s="272"/>
      <c r="F16" s="186"/>
      <c r="G16" s="278" t="s">
        <v>14</v>
      </c>
      <c r="H16" s="278"/>
      <c r="I16" s="278"/>
      <c r="J16" s="238" t="s">
        <v>15</v>
      </c>
      <c r="K16" s="278"/>
      <c r="L16" s="239"/>
      <c r="M16" s="487"/>
      <c r="N16" s="488"/>
      <c r="O16" s="275" t="str">
        <f>sheet1!O16</f>
        <v>860℃±10℃</v>
      </c>
      <c r="P16" s="276"/>
      <c r="Q16" s="276"/>
      <c r="R16" s="89"/>
      <c r="S16" s="236"/>
      <c r="T16" s="237"/>
      <c r="U16" s="296"/>
      <c r="V16" s="297"/>
      <c r="W16" s="298"/>
    </row>
    <row r="17" spans="1:25" s="4" customFormat="1" ht="17.25" customHeight="1">
      <c r="A17" s="478"/>
      <c r="B17" s="479"/>
      <c r="C17" s="97"/>
      <c r="D17" s="92"/>
      <c r="E17" s="97"/>
      <c r="F17" s="94"/>
      <c r="G17" s="97"/>
      <c r="H17" s="97"/>
      <c r="I17" s="97"/>
      <c r="J17" s="92"/>
      <c r="K17" s="97"/>
      <c r="L17" s="94"/>
      <c r="M17" s="494" t="s">
        <v>122</v>
      </c>
      <c r="N17" s="495"/>
      <c r="O17" s="238" t="s">
        <v>16</v>
      </c>
      <c r="P17" s="278"/>
      <c r="Q17" s="239"/>
      <c r="R17" s="11"/>
      <c r="S17" s="282" t="s">
        <v>17</v>
      </c>
      <c r="T17" s="282"/>
      <c r="U17" s="282"/>
      <c r="V17" s="282"/>
      <c r="W17" s="283"/>
    </row>
    <row r="18" spans="1:25" s="4" customFormat="1" ht="17.25" customHeight="1" thickBot="1">
      <c r="A18" s="480"/>
      <c r="B18" s="481"/>
      <c r="C18" s="7"/>
      <c r="D18" s="275" t="s">
        <v>18</v>
      </c>
      <c r="E18" s="276"/>
      <c r="F18" s="277"/>
      <c r="G18" s="276" t="s">
        <v>19</v>
      </c>
      <c r="H18" s="276"/>
      <c r="I18" s="276"/>
      <c r="J18" s="275" t="s">
        <v>20</v>
      </c>
      <c r="K18" s="276"/>
      <c r="L18" s="277"/>
      <c r="M18" s="496"/>
      <c r="N18" s="497"/>
      <c r="O18" s="275" t="s">
        <v>21</v>
      </c>
      <c r="P18" s="276"/>
      <c r="Q18" s="277"/>
      <c r="R18" s="6"/>
      <c r="S18" s="183"/>
      <c r="T18" s="184"/>
      <c r="U18" s="184"/>
      <c r="V18" s="184"/>
      <c r="W18" s="185"/>
    </row>
    <row r="19" spans="1:25" s="4" customFormat="1" ht="17.25" customHeight="1">
      <c r="A19" s="492" t="s">
        <v>22</v>
      </c>
      <c r="B19" s="493"/>
      <c r="C19" s="196"/>
      <c r="D19" s="315" t="s">
        <v>23</v>
      </c>
      <c r="E19" s="245"/>
      <c r="F19" s="246"/>
      <c r="G19" s="245" t="str">
        <f>sheet1!G19</f>
        <v>5Hr00M</v>
      </c>
      <c r="H19" s="245"/>
      <c r="I19" s="245"/>
      <c r="J19" s="315" t="str">
        <f>sheet1!J19</f>
        <v>40M</v>
      </c>
      <c r="K19" s="245"/>
      <c r="L19" s="246"/>
      <c r="M19" s="498"/>
      <c r="N19" s="499"/>
      <c r="O19" s="315" t="str">
        <f>sheet1!O19</f>
        <v>20M</v>
      </c>
      <c r="P19" s="245"/>
      <c r="Q19" s="246"/>
      <c r="R19" s="6"/>
      <c r="S19" s="308" t="s">
        <v>109</v>
      </c>
      <c r="T19" s="309"/>
      <c r="U19" s="309"/>
      <c r="V19" s="309"/>
      <c r="W19" s="310"/>
    </row>
    <row r="20" spans="1:25" s="4" customFormat="1" ht="17.25" customHeight="1">
      <c r="A20" s="194" t="s">
        <v>24</v>
      </c>
      <c r="B20" s="500"/>
      <c r="C20" s="501"/>
      <c r="D20" s="482" t="s">
        <v>123</v>
      </c>
      <c r="E20" s="483"/>
      <c r="F20" s="486"/>
      <c r="G20" s="625" t="str">
        <f>sheet1!G20</f>
        <v>1.25%</v>
      </c>
      <c r="H20" s="625"/>
      <c r="I20" s="625"/>
      <c r="J20" s="626" t="str">
        <f>sheet1!J20</f>
        <v>0.80%</v>
      </c>
      <c r="K20" s="625"/>
      <c r="L20" s="627"/>
      <c r="M20" s="72"/>
      <c r="N20" s="95"/>
      <c r="O20" s="628" t="str">
        <f>sheet1!O20</f>
        <v>0.70%</v>
      </c>
      <c r="P20" s="629"/>
      <c r="Q20" s="630"/>
      <c r="R20" s="88"/>
      <c r="S20" s="183" t="s">
        <v>1</v>
      </c>
      <c r="T20" s="274"/>
      <c r="U20" s="314" t="s">
        <v>26</v>
      </c>
      <c r="V20" s="184"/>
      <c r="W20" s="185"/>
    </row>
    <row r="21" spans="1:25" s="4" customFormat="1" ht="17.25" customHeight="1">
      <c r="A21" s="194" t="s">
        <v>27</v>
      </c>
      <c r="B21" s="195"/>
      <c r="C21" s="196"/>
      <c r="D21" s="482" t="s">
        <v>28</v>
      </c>
      <c r="E21" s="483"/>
      <c r="F21" s="483"/>
      <c r="G21" s="484" t="str">
        <f>sheet1!G21</f>
        <v>CUT</v>
      </c>
      <c r="H21" s="485"/>
      <c r="I21" s="485"/>
      <c r="J21" s="485"/>
      <c r="K21" s="485"/>
      <c r="L21" s="485"/>
      <c r="M21" s="279" t="str">
        <f>sheet1!M21</f>
        <v>CUT</v>
      </c>
      <c r="N21" s="280"/>
      <c r="O21" s="280"/>
      <c r="P21" s="280"/>
      <c r="Q21" s="281"/>
      <c r="R21" s="89"/>
      <c r="S21" s="183" t="s">
        <v>29</v>
      </c>
      <c r="T21" s="274"/>
      <c r="U21" s="183"/>
      <c r="V21" s="184"/>
      <c r="W21" s="185"/>
    </row>
    <row r="22" spans="1:25" s="4" customFormat="1" ht="17.25" customHeight="1" thickBot="1">
      <c r="A22" s="194" t="s">
        <v>30</v>
      </c>
      <c r="B22" s="195"/>
      <c r="C22" s="196"/>
      <c r="D22" s="482" t="s">
        <v>31</v>
      </c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6"/>
      <c r="R22" s="12"/>
      <c r="S22" s="13"/>
      <c r="T22" s="193" t="str">
        <f>sheet1!T22</f>
        <v>180℃±5℃</v>
      </c>
      <c r="U22" s="193"/>
      <c r="V22" s="193"/>
      <c r="W22" s="14"/>
    </row>
    <row r="23" spans="1:25" s="4" customFormat="1" ht="17.25" customHeight="1" thickBot="1">
      <c r="A23" s="194" t="s">
        <v>32</v>
      </c>
      <c r="B23" s="195"/>
      <c r="C23" s="196"/>
      <c r="D23" s="319" t="s">
        <v>33</v>
      </c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1"/>
      <c r="R23" s="88"/>
      <c r="S23" s="186"/>
      <c r="T23" s="15"/>
      <c r="U23" s="16"/>
      <c r="V23" s="17"/>
      <c r="W23" s="318"/>
    </row>
    <row r="24" spans="1:25" s="4" customFormat="1" ht="17.25" customHeight="1">
      <c r="A24" s="37" t="s">
        <v>34</v>
      </c>
      <c r="B24" s="7"/>
      <c r="C24" s="38"/>
      <c r="D24" s="193"/>
      <c r="E24" s="193"/>
      <c r="F24" s="193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186"/>
      <c r="T24" s="275" t="str">
        <f>sheet1!T24</f>
        <v>2Hr00M</v>
      </c>
      <c r="U24" s="276"/>
      <c r="V24" s="277"/>
      <c r="W24" s="318"/>
    </row>
    <row r="25" spans="1:25" s="4" customFormat="1" ht="16.5" customHeight="1">
      <c r="A25" s="187" t="s">
        <v>63</v>
      </c>
      <c r="B25" s="188"/>
      <c r="C25" s="40" t="s">
        <v>36</v>
      </c>
      <c r="D25" s="222" t="s">
        <v>234</v>
      </c>
      <c r="E25" s="223"/>
      <c r="F25" s="223"/>
      <c r="G25" s="322" t="s">
        <v>35</v>
      </c>
      <c r="H25" s="188"/>
      <c r="I25" s="222" t="s">
        <v>72</v>
      </c>
      <c r="J25" s="223"/>
      <c r="K25" s="233"/>
      <c r="L25" s="215" t="s">
        <v>37</v>
      </c>
      <c r="M25" s="41" t="s">
        <v>38</v>
      </c>
      <c r="N25" s="218" t="s">
        <v>70</v>
      </c>
      <c r="O25" s="220" t="s">
        <v>235</v>
      </c>
      <c r="P25" s="221"/>
      <c r="Q25" s="218" t="s">
        <v>88</v>
      </c>
      <c r="R25" s="621" t="s">
        <v>46</v>
      </c>
      <c r="S25" s="622"/>
      <c r="T25" s="55" t="s">
        <v>97</v>
      </c>
      <c r="U25" s="623" t="s">
        <v>73</v>
      </c>
      <c r="V25" s="624"/>
      <c r="W25" s="46" t="s">
        <v>7</v>
      </c>
    </row>
    <row r="26" spans="1:25" s="19" customFormat="1" ht="16.5" customHeight="1">
      <c r="A26" s="189"/>
      <c r="B26" s="190"/>
      <c r="C26" s="18" t="s">
        <v>124</v>
      </c>
      <c r="D26" s="325" t="s">
        <v>132</v>
      </c>
      <c r="E26" s="326"/>
      <c r="F26" s="326"/>
      <c r="G26" s="323"/>
      <c r="H26" s="190"/>
      <c r="I26" s="325" t="s">
        <v>132</v>
      </c>
      <c r="J26" s="326"/>
      <c r="K26" s="326"/>
      <c r="L26" s="216"/>
      <c r="M26" s="42" t="s">
        <v>39</v>
      </c>
      <c r="N26" s="219"/>
      <c r="O26" s="442" t="s">
        <v>89</v>
      </c>
      <c r="P26" s="443"/>
      <c r="Q26" s="219"/>
      <c r="R26" s="211" t="s">
        <v>48</v>
      </c>
      <c r="S26" s="206"/>
      <c r="T26" s="206"/>
      <c r="U26" s="331" t="s">
        <v>48</v>
      </c>
      <c r="V26" s="332"/>
      <c r="W26" s="333"/>
    </row>
    <row r="27" spans="1:25" s="19" customFormat="1" ht="16.5" customHeight="1">
      <c r="A27" s="191"/>
      <c r="B27" s="192"/>
      <c r="C27" s="43" t="s">
        <v>125</v>
      </c>
      <c r="D27" s="327" t="s">
        <v>131</v>
      </c>
      <c r="E27" s="328"/>
      <c r="F27" s="328"/>
      <c r="G27" s="324"/>
      <c r="H27" s="192"/>
      <c r="I27" s="327" t="s">
        <v>131</v>
      </c>
      <c r="J27" s="328"/>
      <c r="K27" s="328"/>
      <c r="L27" s="217"/>
      <c r="M27" s="44" t="s">
        <v>40</v>
      </c>
      <c r="N27" s="316" t="s">
        <v>90</v>
      </c>
      <c r="O27" s="205"/>
      <c r="P27" s="444"/>
      <c r="Q27" s="316" t="s">
        <v>57</v>
      </c>
      <c r="R27" s="580" t="s">
        <v>94</v>
      </c>
      <c r="S27" s="530"/>
      <c r="T27" s="530"/>
      <c r="U27" s="580" t="s">
        <v>74</v>
      </c>
      <c r="V27" s="530"/>
      <c r="W27" s="584"/>
    </row>
    <row r="28" spans="1:25" s="19" customFormat="1" ht="16.5" customHeight="1">
      <c r="A28" s="606"/>
      <c r="B28" s="607"/>
      <c r="C28" s="607"/>
      <c r="D28" s="607"/>
      <c r="E28" s="612" t="s">
        <v>206</v>
      </c>
      <c r="F28" s="613"/>
      <c r="G28" s="613"/>
      <c r="H28" s="613"/>
      <c r="I28" s="613"/>
      <c r="J28" s="613"/>
      <c r="K28" s="613"/>
      <c r="L28" s="613"/>
      <c r="M28" s="614"/>
      <c r="N28" s="316"/>
      <c r="O28" s="329" t="s">
        <v>91</v>
      </c>
      <c r="P28" s="330"/>
      <c r="Q28" s="316"/>
      <c r="R28" s="580" t="s">
        <v>77</v>
      </c>
      <c r="S28" s="530"/>
      <c r="T28" s="530"/>
      <c r="U28" s="581" t="s">
        <v>77</v>
      </c>
      <c r="V28" s="582"/>
      <c r="W28" s="583"/>
    </row>
    <row r="29" spans="1:25" s="19" customFormat="1" ht="17.100000000000001" customHeight="1">
      <c r="A29" s="608"/>
      <c r="B29" s="609"/>
      <c r="C29" s="609"/>
      <c r="D29" s="609"/>
      <c r="E29" s="615"/>
      <c r="F29" s="616"/>
      <c r="G29" s="616"/>
      <c r="H29" s="616"/>
      <c r="I29" s="616"/>
      <c r="J29" s="616"/>
      <c r="K29" s="616"/>
      <c r="L29" s="616"/>
      <c r="M29" s="617"/>
      <c r="N29" s="316"/>
      <c r="O29" s="329"/>
      <c r="P29" s="330"/>
      <c r="Q29" s="316"/>
      <c r="R29" s="529" t="s">
        <v>95</v>
      </c>
      <c r="S29" s="530"/>
      <c r="T29" s="531"/>
      <c r="U29" s="580" t="s">
        <v>78</v>
      </c>
      <c r="V29" s="530"/>
      <c r="W29" s="584"/>
    </row>
    <row r="30" spans="1:25" s="19" customFormat="1" ht="17.100000000000001" customHeight="1">
      <c r="A30" s="610"/>
      <c r="B30" s="611"/>
      <c r="C30" s="611"/>
      <c r="D30" s="611"/>
      <c r="E30" s="618"/>
      <c r="F30" s="619"/>
      <c r="G30" s="619"/>
      <c r="H30" s="619"/>
      <c r="I30" s="619"/>
      <c r="J30" s="619"/>
      <c r="K30" s="619"/>
      <c r="L30" s="619"/>
      <c r="M30" s="620"/>
      <c r="N30" s="316"/>
      <c r="O30" s="329"/>
      <c r="P30" s="330"/>
      <c r="Q30" s="316"/>
      <c r="R30" s="580" t="s">
        <v>58</v>
      </c>
      <c r="S30" s="530"/>
      <c r="T30" s="530"/>
      <c r="U30" s="581" t="s">
        <v>58</v>
      </c>
      <c r="V30" s="582"/>
      <c r="W30" s="583"/>
    </row>
    <row r="31" spans="1:25" s="19" customFormat="1" ht="17.100000000000001" customHeight="1">
      <c r="A31" s="587" t="s">
        <v>205</v>
      </c>
      <c r="B31" s="588"/>
      <c r="C31" s="588"/>
      <c r="D31" s="588"/>
      <c r="E31" s="591" t="s">
        <v>44</v>
      </c>
      <c r="F31" s="592"/>
      <c r="G31" s="592" t="s">
        <v>45</v>
      </c>
      <c r="H31" s="592"/>
      <c r="I31" s="592" t="s">
        <v>79</v>
      </c>
      <c r="J31" s="592"/>
      <c r="K31" s="593" t="s">
        <v>8</v>
      </c>
      <c r="L31" s="593"/>
      <c r="M31" s="594"/>
      <c r="N31" s="317"/>
      <c r="O31" s="329"/>
      <c r="P31" s="330"/>
      <c r="Q31" s="317"/>
      <c r="R31" s="585" t="s">
        <v>96</v>
      </c>
      <c r="S31" s="533"/>
      <c r="T31" s="533"/>
      <c r="U31" s="585" t="s">
        <v>59</v>
      </c>
      <c r="V31" s="533"/>
      <c r="W31" s="586"/>
    </row>
    <row r="32" spans="1:25" s="19" customFormat="1" ht="17.100000000000001" customHeight="1">
      <c r="A32" s="589"/>
      <c r="B32" s="590"/>
      <c r="C32" s="590"/>
      <c r="D32" s="590"/>
      <c r="E32" s="601"/>
      <c r="F32" s="602"/>
      <c r="G32" s="602"/>
      <c r="H32" s="602"/>
      <c r="I32" s="602"/>
      <c r="J32" s="602"/>
      <c r="K32" s="603"/>
      <c r="L32" s="604"/>
      <c r="M32" s="605"/>
      <c r="N32" s="538"/>
      <c r="O32" s="539"/>
      <c r="P32" s="539"/>
      <c r="Q32" s="539"/>
      <c r="R32" s="539"/>
      <c r="S32" s="197"/>
      <c r="T32" s="199"/>
      <c r="U32" s="200"/>
      <c r="V32" s="199"/>
      <c r="W32" s="537"/>
      <c r="Y32" s="28"/>
    </row>
    <row r="33" spans="1:23" s="19" customFormat="1" ht="17.100000000000001" customHeight="1">
      <c r="A33" s="595" t="s">
        <v>204</v>
      </c>
      <c r="B33" s="596"/>
      <c r="C33" s="596"/>
      <c r="D33" s="597"/>
      <c r="E33" s="598">
        <f>sheet1!H31</f>
        <v>0</v>
      </c>
      <c r="F33" s="599"/>
      <c r="G33" s="599"/>
      <c r="H33" s="599"/>
      <c r="I33" s="599"/>
      <c r="J33" s="599"/>
      <c r="K33" s="599"/>
      <c r="L33" s="599"/>
      <c r="M33" s="600"/>
      <c r="N33" s="540"/>
      <c r="O33" s="541"/>
      <c r="P33" s="541"/>
      <c r="Q33" s="541"/>
      <c r="R33" s="541"/>
      <c r="S33" s="198"/>
      <c r="T33" s="201"/>
      <c r="U33" s="202"/>
      <c r="V33" s="201"/>
      <c r="W33" s="342"/>
    </row>
    <row r="34" spans="1:23" s="19" customFormat="1" ht="17.100000000000001" customHeight="1">
      <c r="A34" s="555" t="s">
        <v>47</v>
      </c>
      <c r="B34" s="556"/>
      <c r="C34" s="556"/>
      <c r="D34" s="556"/>
      <c r="E34" s="556"/>
      <c r="F34" s="556"/>
      <c r="G34" s="556"/>
      <c r="H34" s="556"/>
      <c r="I34" s="556"/>
      <c r="J34" s="556"/>
      <c r="K34" s="556"/>
      <c r="L34" s="556"/>
      <c r="M34" s="556"/>
      <c r="N34" s="535" t="s">
        <v>87</v>
      </c>
      <c r="O34" s="535"/>
      <c r="P34" s="535"/>
      <c r="Q34" s="535"/>
      <c r="R34" s="535"/>
      <c r="S34" s="535"/>
      <c r="T34" s="535"/>
      <c r="U34" s="535"/>
      <c r="V34" s="535"/>
      <c r="W34" s="536"/>
    </row>
    <row r="35" spans="1:23" s="19" customFormat="1" ht="16.5" customHeight="1">
      <c r="A35" s="557" t="s">
        <v>182</v>
      </c>
      <c r="B35" s="558"/>
      <c r="C35" s="558"/>
      <c r="D35" s="558"/>
      <c r="E35" s="558"/>
      <c r="F35" s="558"/>
      <c r="G35" s="558"/>
      <c r="H35" s="558"/>
      <c r="I35" s="558"/>
      <c r="J35" s="558"/>
      <c r="K35" s="558"/>
      <c r="L35" s="558"/>
      <c r="M35" s="559"/>
      <c r="N35" s="435">
        <f>sheet1!N35</f>
        <v>0</v>
      </c>
      <c r="O35" s="566"/>
      <c r="P35" s="566"/>
      <c r="Q35" s="566"/>
      <c r="R35" s="566"/>
      <c r="S35" s="566"/>
      <c r="T35" s="566"/>
      <c r="U35" s="566"/>
      <c r="V35" s="566"/>
      <c r="W35" s="567"/>
    </row>
    <row r="36" spans="1:23" s="19" customFormat="1" ht="17.100000000000001" customHeight="1">
      <c r="A36" s="560"/>
      <c r="B36" s="561"/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2"/>
      <c r="N36" s="568"/>
      <c r="O36" s="569"/>
      <c r="P36" s="569"/>
      <c r="Q36" s="569"/>
      <c r="R36" s="569"/>
      <c r="S36" s="569"/>
      <c r="T36" s="569"/>
      <c r="U36" s="569"/>
      <c r="V36" s="569"/>
      <c r="W36" s="570"/>
    </row>
    <row r="37" spans="1:23" s="19" customFormat="1" ht="17.100000000000001" customHeight="1">
      <c r="A37" s="560"/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2"/>
      <c r="N37" s="571"/>
      <c r="O37" s="572"/>
      <c r="P37" s="572"/>
      <c r="Q37" s="572"/>
      <c r="R37" s="572"/>
      <c r="S37" s="572"/>
      <c r="T37" s="572"/>
      <c r="U37" s="572"/>
      <c r="V37" s="572"/>
      <c r="W37" s="573"/>
    </row>
    <row r="38" spans="1:23" s="19" customFormat="1" ht="15" customHeight="1">
      <c r="A38" s="560"/>
      <c r="B38" s="561"/>
      <c r="C38" s="561"/>
      <c r="D38" s="561"/>
      <c r="E38" s="561"/>
      <c r="F38" s="561"/>
      <c r="G38" s="561"/>
      <c r="H38" s="561"/>
      <c r="I38" s="561"/>
      <c r="J38" s="561"/>
      <c r="K38" s="561"/>
      <c r="L38" s="561"/>
      <c r="M38" s="562"/>
      <c r="N38" s="574"/>
      <c r="O38" s="575"/>
      <c r="P38" s="575"/>
      <c r="Q38" s="575"/>
      <c r="R38" s="575"/>
      <c r="S38" s="575"/>
      <c r="T38" s="575"/>
      <c r="U38" s="575"/>
      <c r="V38" s="575"/>
      <c r="W38" s="576"/>
    </row>
    <row r="39" spans="1:23" s="19" customFormat="1" ht="15" customHeight="1">
      <c r="A39" s="560"/>
      <c r="B39" s="561"/>
      <c r="C39" s="561"/>
      <c r="D39" s="561"/>
      <c r="E39" s="561"/>
      <c r="F39" s="561"/>
      <c r="G39" s="561"/>
      <c r="H39" s="561"/>
      <c r="I39" s="561"/>
      <c r="J39" s="561"/>
      <c r="K39" s="561"/>
      <c r="L39" s="561"/>
      <c r="M39" s="562"/>
      <c r="N39" s="574"/>
      <c r="O39" s="575"/>
      <c r="P39" s="575"/>
      <c r="Q39" s="575"/>
      <c r="R39" s="575"/>
      <c r="S39" s="575"/>
      <c r="T39" s="575"/>
      <c r="U39" s="575"/>
      <c r="V39" s="575"/>
      <c r="W39" s="576"/>
    </row>
    <row r="40" spans="1:23" s="19" customFormat="1" ht="33.75" customHeight="1">
      <c r="A40" s="563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5"/>
      <c r="N40" s="577"/>
      <c r="O40" s="578"/>
      <c r="P40" s="578"/>
      <c r="Q40" s="578"/>
      <c r="R40" s="578"/>
      <c r="S40" s="578"/>
      <c r="T40" s="578"/>
      <c r="U40" s="578"/>
      <c r="V40" s="578"/>
      <c r="W40" s="579"/>
    </row>
    <row r="41" spans="1:23" s="19" customFormat="1" ht="18" customHeight="1">
      <c r="A41" s="434" t="s">
        <v>201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3" s="19" customFormat="1" ht="15" customHeight="1">
      <c r="A42" s="432" t="s">
        <v>83</v>
      </c>
      <c r="B42" s="433"/>
      <c r="C42" s="242" t="s">
        <v>84</v>
      </c>
      <c r="D42" s="193"/>
      <c r="E42" s="193"/>
      <c r="F42" s="193"/>
      <c r="G42" s="193"/>
      <c r="H42" s="242" t="s">
        <v>135</v>
      </c>
      <c r="I42" s="193"/>
      <c r="J42" s="193"/>
      <c r="K42" s="418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3" s="19" customFormat="1" ht="15.75" customHeight="1">
      <c r="A43" s="432"/>
      <c r="B43" s="433"/>
      <c r="C43" s="244"/>
      <c r="D43" s="245"/>
      <c r="E43" s="245"/>
      <c r="F43" s="245"/>
      <c r="G43" s="245"/>
      <c r="H43" s="244"/>
      <c r="I43" s="245"/>
      <c r="J43" s="245"/>
      <c r="K43" s="44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3" s="19" customFormat="1" ht="24.95" customHeight="1">
      <c r="A44" s="170" t="s">
        <v>43</v>
      </c>
      <c r="B44" s="171"/>
      <c r="C44" s="172" t="str">
        <f>sheet1!C44</f>
        <v>-</v>
      </c>
      <c r="D44" s="172"/>
      <c r="E44" s="172"/>
      <c r="F44" s="172"/>
      <c r="G44" s="172"/>
      <c r="H44" s="224" t="s">
        <v>136</v>
      </c>
      <c r="I44" s="225"/>
      <c r="J44" s="225"/>
      <c r="K44" s="226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3" s="19" customFormat="1" ht="24.95" customHeight="1">
      <c r="A45" s="179" t="s">
        <v>60</v>
      </c>
      <c r="B45" s="180"/>
      <c r="C45" s="181" t="str">
        <f>sheet1!C45</f>
        <v>_</v>
      </c>
      <c r="D45" s="181"/>
      <c r="E45" s="181"/>
      <c r="F45" s="181"/>
      <c r="G45" s="181"/>
      <c r="H45" s="227"/>
      <c r="I45" s="228"/>
      <c r="J45" s="228"/>
      <c r="K45" s="229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</row>
    <row r="46" spans="1:23" s="19" customFormat="1" ht="24.95" customHeight="1">
      <c r="A46" s="179" t="s">
        <v>61</v>
      </c>
      <c r="B46" s="180"/>
      <c r="C46" s="181" t="str">
        <f>sheet1!C46</f>
        <v>_</v>
      </c>
      <c r="D46" s="181"/>
      <c r="E46" s="181"/>
      <c r="F46" s="181"/>
      <c r="G46" s="181"/>
      <c r="H46" s="227"/>
      <c r="I46" s="228"/>
      <c r="J46" s="228"/>
      <c r="K46" s="229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3" s="19" customFormat="1" ht="24.95" customHeight="1" thickBot="1">
      <c r="A47" s="175" t="s">
        <v>62</v>
      </c>
      <c r="B47" s="176"/>
      <c r="C47" s="177" t="str">
        <f>sheet1!C47</f>
        <v>_</v>
      </c>
      <c r="D47" s="177"/>
      <c r="E47" s="177"/>
      <c r="F47" s="177"/>
      <c r="G47" s="177"/>
      <c r="H47" s="230"/>
      <c r="I47" s="231"/>
      <c r="J47" s="231"/>
      <c r="K47" s="232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3" s="19" customFormat="1" ht="12.95" customHeight="1">
      <c r="A48" s="431" t="s">
        <v>181</v>
      </c>
      <c r="B48" s="431"/>
      <c r="C48" s="431"/>
      <c r="D48" s="431"/>
      <c r="E48" s="431"/>
      <c r="F48" s="431"/>
      <c r="G48" s="20"/>
      <c r="H48" s="20"/>
      <c r="I48" s="20"/>
      <c r="J48" s="169" t="s">
        <v>50</v>
      </c>
      <c r="K48" s="169"/>
      <c r="L48" s="169"/>
      <c r="M48" s="169"/>
      <c r="N48" s="169"/>
      <c r="O48" s="169"/>
      <c r="P48" s="58"/>
      <c r="Q48" s="58"/>
      <c r="R48" s="58"/>
      <c r="S48" s="174" t="s">
        <v>51</v>
      </c>
      <c r="T48" s="174"/>
      <c r="U48" s="174"/>
      <c r="V48" s="174"/>
      <c r="W48" s="174"/>
    </row>
    <row r="49" spans="1:23" s="2" customFormat="1" ht="12.75" thickBo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>
      <c r="A50" s="258" t="s">
        <v>226</v>
      </c>
      <c r="B50" s="259"/>
      <c r="C50" s="259"/>
      <c r="D50" s="259"/>
      <c r="E50" s="259"/>
      <c r="F50" s="259"/>
      <c r="G50" s="259"/>
      <c r="H50" s="259"/>
      <c r="I50" s="259"/>
      <c r="J50" s="259"/>
      <c r="K50" s="259"/>
      <c r="L50" s="259"/>
      <c r="M50" s="259"/>
      <c r="N50" s="259"/>
      <c r="O50" s="259"/>
      <c r="P50" s="259"/>
      <c r="Q50" s="259"/>
      <c r="R50" s="259"/>
      <c r="S50" s="259"/>
      <c r="T50" s="259"/>
      <c r="U50" s="259"/>
      <c r="V50" s="259"/>
      <c r="W50" s="260"/>
    </row>
    <row r="51" spans="1:23" ht="14.25" thickBot="1">
      <c r="A51" s="261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3"/>
    </row>
    <row r="52" spans="1:23" ht="24.95" customHeight="1" thickBot="1">
      <c r="A52" s="264" t="s">
        <v>227</v>
      </c>
      <c r="B52" s="265"/>
      <c r="C52" s="266" t="s">
        <v>228</v>
      </c>
      <c r="D52" s="267"/>
      <c r="E52" s="267" t="s">
        <v>229</v>
      </c>
      <c r="F52" s="267"/>
      <c r="G52" s="267" t="s">
        <v>230</v>
      </c>
      <c r="H52" s="267"/>
      <c r="I52" s="267" t="s">
        <v>231</v>
      </c>
      <c r="J52" s="267"/>
      <c r="K52" s="267" t="s">
        <v>232</v>
      </c>
      <c r="L52" s="268"/>
      <c r="M52" s="269" t="s">
        <v>233</v>
      </c>
      <c r="N52" s="270"/>
      <c r="O52" s="270"/>
      <c r="P52" s="270"/>
      <c r="Q52" s="270"/>
      <c r="R52" s="270"/>
      <c r="S52" s="270"/>
      <c r="T52" s="270"/>
      <c r="U52" s="270"/>
      <c r="V52" s="270"/>
      <c r="W52" s="271"/>
    </row>
    <row r="53" spans="1:23" ht="24.95" customHeight="1">
      <c r="A53" s="552"/>
      <c r="B53" s="553"/>
      <c r="C53" s="554"/>
      <c r="D53" s="182"/>
      <c r="E53" s="182"/>
      <c r="F53" s="182"/>
      <c r="G53" s="182"/>
      <c r="H53" s="182"/>
      <c r="I53" s="182"/>
      <c r="J53" s="182"/>
      <c r="K53" s="182"/>
      <c r="L53" s="471"/>
      <c r="M53" s="472"/>
      <c r="N53" s="473"/>
      <c r="O53" s="473"/>
      <c r="P53" s="473"/>
      <c r="Q53" s="473"/>
      <c r="R53" s="473"/>
      <c r="S53" s="473"/>
      <c r="T53" s="473"/>
      <c r="U53" s="473"/>
      <c r="V53" s="473"/>
      <c r="W53" s="474"/>
    </row>
    <row r="54" spans="1:23" ht="24.95" customHeight="1">
      <c r="A54" s="153"/>
      <c r="B54" s="154"/>
      <c r="C54" s="155"/>
      <c r="D54" s="156"/>
      <c r="E54" s="156"/>
      <c r="F54" s="156"/>
      <c r="G54" s="156"/>
      <c r="H54" s="156"/>
      <c r="I54" s="156"/>
      <c r="J54" s="156"/>
      <c r="K54" s="156"/>
      <c r="L54" s="157"/>
      <c r="M54" s="158"/>
      <c r="N54" s="159"/>
      <c r="O54" s="159"/>
      <c r="P54" s="159"/>
      <c r="Q54" s="159"/>
      <c r="R54" s="159"/>
      <c r="S54" s="159"/>
      <c r="T54" s="159"/>
      <c r="U54" s="159"/>
      <c r="V54" s="159"/>
      <c r="W54" s="160"/>
    </row>
    <row r="55" spans="1:23" ht="24.95" customHeight="1">
      <c r="A55" s="153"/>
      <c r="B55" s="154"/>
      <c r="C55" s="155"/>
      <c r="D55" s="156"/>
      <c r="E55" s="156"/>
      <c r="F55" s="156"/>
      <c r="G55" s="156"/>
      <c r="H55" s="156"/>
      <c r="I55" s="156"/>
      <c r="J55" s="156"/>
      <c r="K55" s="156"/>
      <c r="L55" s="157"/>
      <c r="M55" s="158"/>
      <c r="N55" s="159"/>
      <c r="O55" s="159"/>
      <c r="P55" s="159"/>
      <c r="Q55" s="159"/>
      <c r="R55" s="159"/>
      <c r="S55" s="159"/>
      <c r="T55" s="159"/>
      <c r="U55" s="159"/>
      <c r="V55" s="159"/>
      <c r="W55" s="160"/>
    </row>
    <row r="56" spans="1:23" ht="24.95" customHeight="1">
      <c r="A56" s="153"/>
      <c r="B56" s="154"/>
      <c r="C56" s="155"/>
      <c r="D56" s="156"/>
      <c r="E56" s="156"/>
      <c r="F56" s="156"/>
      <c r="G56" s="156"/>
      <c r="H56" s="156"/>
      <c r="I56" s="156"/>
      <c r="J56" s="156"/>
      <c r="K56" s="156"/>
      <c r="L56" s="157"/>
      <c r="M56" s="158"/>
      <c r="N56" s="159"/>
      <c r="O56" s="159"/>
      <c r="P56" s="159"/>
      <c r="Q56" s="159"/>
      <c r="R56" s="159"/>
      <c r="S56" s="159"/>
      <c r="T56" s="159"/>
      <c r="U56" s="159"/>
      <c r="V56" s="159"/>
      <c r="W56" s="160"/>
    </row>
    <row r="57" spans="1:23" ht="24.95" customHeight="1">
      <c r="A57" s="153"/>
      <c r="B57" s="154"/>
      <c r="C57" s="155"/>
      <c r="D57" s="156"/>
      <c r="E57" s="156"/>
      <c r="F57" s="156"/>
      <c r="G57" s="156"/>
      <c r="H57" s="156"/>
      <c r="I57" s="156"/>
      <c r="J57" s="156"/>
      <c r="K57" s="156"/>
      <c r="L57" s="157"/>
      <c r="M57" s="158"/>
      <c r="N57" s="159"/>
      <c r="O57" s="159"/>
      <c r="P57" s="159"/>
      <c r="Q57" s="159"/>
      <c r="R57" s="159"/>
      <c r="S57" s="159"/>
      <c r="T57" s="159"/>
      <c r="U57" s="159"/>
      <c r="V57" s="159"/>
      <c r="W57" s="160"/>
    </row>
    <row r="58" spans="1:23" ht="24.95" customHeight="1">
      <c r="A58" s="153"/>
      <c r="B58" s="154"/>
      <c r="C58" s="155"/>
      <c r="D58" s="156"/>
      <c r="E58" s="156"/>
      <c r="F58" s="156"/>
      <c r="G58" s="156"/>
      <c r="H58" s="156"/>
      <c r="I58" s="156"/>
      <c r="J58" s="156"/>
      <c r="K58" s="156"/>
      <c r="L58" s="157"/>
      <c r="M58" s="158"/>
      <c r="N58" s="159"/>
      <c r="O58" s="159"/>
      <c r="P58" s="159"/>
      <c r="Q58" s="159"/>
      <c r="R58" s="159"/>
      <c r="S58" s="159"/>
      <c r="T58" s="159"/>
      <c r="U58" s="159"/>
      <c r="V58" s="159"/>
      <c r="W58" s="160"/>
    </row>
    <row r="59" spans="1:23" ht="24.95" customHeight="1">
      <c r="A59" s="153"/>
      <c r="B59" s="154"/>
      <c r="C59" s="155"/>
      <c r="D59" s="156"/>
      <c r="E59" s="156"/>
      <c r="F59" s="156"/>
      <c r="G59" s="156"/>
      <c r="H59" s="156"/>
      <c r="I59" s="156"/>
      <c r="J59" s="156"/>
      <c r="K59" s="156"/>
      <c r="L59" s="157"/>
      <c r="M59" s="158"/>
      <c r="N59" s="159"/>
      <c r="O59" s="159"/>
      <c r="P59" s="159"/>
      <c r="Q59" s="159"/>
      <c r="R59" s="159"/>
      <c r="S59" s="159"/>
      <c r="T59" s="159"/>
      <c r="U59" s="159"/>
      <c r="V59" s="159"/>
      <c r="W59" s="160"/>
    </row>
    <row r="60" spans="1:23" ht="24.95" customHeight="1">
      <c r="A60" s="153"/>
      <c r="B60" s="154"/>
      <c r="C60" s="155"/>
      <c r="D60" s="156"/>
      <c r="E60" s="156"/>
      <c r="F60" s="156"/>
      <c r="G60" s="156"/>
      <c r="H60" s="156"/>
      <c r="I60" s="156"/>
      <c r="J60" s="156"/>
      <c r="K60" s="156"/>
      <c r="L60" s="157"/>
      <c r="M60" s="158"/>
      <c r="N60" s="159"/>
      <c r="O60" s="159"/>
      <c r="P60" s="159"/>
      <c r="Q60" s="159"/>
      <c r="R60" s="159"/>
      <c r="S60" s="159"/>
      <c r="T60" s="159"/>
      <c r="U60" s="159"/>
      <c r="V60" s="159"/>
      <c r="W60" s="160"/>
    </row>
    <row r="61" spans="1:23" ht="24.95" customHeight="1">
      <c r="A61" s="153"/>
      <c r="B61" s="154"/>
      <c r="C61" s="155"/>
      <c r="D61" s="156"/>
      <c r="E61" s="156"/>
      <c r="F61" s="156"/>
      <c r="G61" s="156"/>
      <c r="H61" s="156"/>
      <c r="I61" s="156"/>
      <c r="J61" s="156"/>
      <c r="K61" s="156"/>
      <c r="L61" s="157"/>
      <c r="M61" s="158"/>
      <c r="N61" s="159"/>
      <c r="O61" s="159"/>
      <c r="P61" s="159"/>
      <c r="Q61" s="159"/>
      <c r="R61" s="159"/>
      <c r="S61" s="159"/>
      <c r="T61" s="159"/>
      <c r="U61" s="159"/>
      <c r="V61" s="159"/>
      <c r="W61" s="160"/>
    </row>
    <row r="62" spans="1:23" ht="24.95" customHeight="1">
      <c r="A62" s="153"/>
      <c r="B62" s="154"/>
      <c r="C62" s="155"/>
      <c r="D62" s="156"/>
      <c r="E62" s="156"/>
      <c r="F62" s="156"/>
      <c r="G62" s="156"/>
      <c r="H62" s="156"/>
      <c r="I62" s="156"/>
      <c r="J62" s="156"/>
      <c r="K62" s="156"/>
      <c r="L62" s="157"/>
      <c r="M62" s="158"/>
      <c r="N62" s="159"/>
      <c r="O62" s="159"/>
      <c r="P62" s="159"/>
      <c r="Q62" s="159"/>
      <c r="R62" s="159"/>
      <c r="S62" s="159"/>
      <c r="T62" s="159"/>
      <c r="U62" s="159"/>
      <c r="V62" s="159"/>
      <c r="W62" s="160"/>
    </row>
    <row r="63" spans="1:23" ht="24.95" customHeight="1">
      <c r="A63" s="153"/>
      <c r="B63" s="154"/>
      <c r="C63" s="155"/>
      <c r="D63" s="156"/>
      <c r="E63" s="156"/>
      <c r="F63" s="156"/>
      <c r="G63" s="156"/>
      <c r="H63" s="156"/>
      <c r="I63" s="156"/>
      <c r="J63" s="156"/>
      <c r="K63" s="156"/>
      <c r="L63" s="157"/>
      <c r="M63" s="158"/>
      <c r="N63" s="159"/>
      <c r="O63" s="159"/>
      <c r="P63" s="159"/>
      <c r="Q63" s="159"/>
      <c r="R63" s="159"/>
      <c r="S63" s="159"/>
      <c r="T63" s="159"/>
      <c r="U63" s="159"/>
      <c r="V63" s="159"/>
      <c r="W63" s="160"/>
    </row>
    <row r="64" spans="1:23" ht="24.95" customHeight="1">
      <c r="A64" s="153"/>
      <c r="B64" s="154"/>
      <c r="C64" s="155"/>
      <c r="D64" s="156"/>
      <c r="E64" s="156"/>
      <c r="F64" s="156"/>
      <c r="G64" s="156"/>
      <c r="H64" s="156"/>
      <c r="I64" s="156"/>
      <c r="J64" s="156"/>
      <c r="K64" s="156"/>
      <c r="L64" s="157"/>
      <c r="M64" s="158"/>
      <c r="N64" s="159"/>
      <c r="O64" s="159"/>
      <c r="P64" s="159"/>
      <c r="Q64" s="159"/>
      <c r="R64" s="159"/>
      <c r="S64" s="159"/>
      <c r="T64" s="159"/>
      <c r="U64" s="159"/>
      <c r="V64" s="159"/>
      <c r="W64" s="160"/>
    </row>
    <row r="65" spans="1:23" ht="24.95" customHeight="1">
      <c r="A65" s="153"/>
      <c r="B65" s="154"/>
      <c r="C65" s="155"/>
      <c r="D65" s="156"/>
      <c r="E65" s="156"/>
      <c r="F65" s="156"/>
      <c r="G65" s="156"/>
      <c r="H65" s="156"/>
      <c r="I65" s="156"/>
      <c r="J65" s="156"/>
      <c r="K65" s="156"/>
      <c r="L65" s="157"/>
      <c r="M65" s="158"/>
      <c r="N65" s="159"/>
      <c r="O65" s="159"/>
      <c r="P65" s="159"/>
      <c r="Q65" s="159"/>
      <c r="R65" s="159"/>
      <c r="S65" s="159"/>
      <c r="T65" s="159"/>
      <c r="U65" s="159"/>
      <c r="V65" s="159"/>
      <c r="W65" s="160"/>
    </row>
    <row r="66" spans="1:23" ht="24.95" customHeight="1">
      <c r="A66" s="153"/>
      <c r="B66" s="154"/>
      <c r="C66" s="155"/>
      <c r="D66" s="156"/>
      <c r="E66" s="156"/>
      <c r="F66" s="156"/>
      <c r="G66" s="156"/>
      <c r="H66" s="156"/>
      <c r="I66" s="156"/>
      <c r="J66" s="156"/>
      <c r="K66" s="156"/>
      <c r="L66" s="157"/>
      <c r="M66" s="158"/>
      <c r="N66" s="159"/>
      <c r="O66" s="159"/>
      <c r="P66" s="159"/>
      <c r="Q66" s="159"/>
      <c r="R66" s="159"/>
      <c r="S66" s="159"/>
      <c r="T66" s="159"/>
      <c r="U66" s="159"/>
      <c r="V66" s="159"/>
      <c r="W66" s="160"/>
    </row>
    <row r="67" spans="1:23" ht="24.95" customHeight="1">
      <c r="A67" s="153"/>
      <c r="B67" s="154"/>
      <c r="C67" s="155"/>
      <c r="D67" s="156"/>
      <c r="E67" s="156"/>
      <c r="F67" s="156"/>
      <c r="G67" s="156"/>
      <c r="H67" s="156"/>
      <c r="I67" s="156"/>
      <c r="J67" s="156"/>
      <c r="K67" s="156"/>
      <c r="L67" s="157"/>
      <c r="M67" s="158"/>
      <c r="N67" s="159"/>
      <c r="O67" s="159"/>
      <c r="P67" s="159"/>
      <c r="Q67" s="159"/>
      <c r="R67" s="159"/>
      <c r="S67" s="159"/>
      <c r="T67" s="159"/>
      <c r="U67" s="159"/>
      <c r="V67" s="159"/>
      <c r="W67" s="160"/>
    </row>
    <row r="68" spans="1:23" ht="24.95" customHeight="1">
      <c r="A68" s="110"/>
      <c r="B68" s="113"/>
      <c r="C68" s="155"/>
      <c r="D68" s="156"/>
      <c r="E68" s="156"/>
      <c r="F68" s="156"/>
      <c r="G68" s="156"/>
      <c r="H68" s="156"/>
      <c r="I68" s="156"/>
      <c r="J68" s="156"/>
      <c r="K68" s="156"/>
      <c r="L68" s="157"/>
      <c r="M68" s="114"/>
      <c r="N68" s="111"/>
      <c r="O68" s="111"/>
      <c r="P68" s="111"/>
      <c r="Q68" s="111"/>
      <c r="R68" s="111"/>
      <c r="S68" s="111"/>
      <c r="T68" s="111"/>
      <c r="U68" s="111"/>
      <c r="V68" s="111"/>
      <c r="W68" s="112"/>
    </row>
    <row r="69" spans="1:23" ht="24.95" customHeight="1">
      <c r="A69" s="153"/>
      <c r="B69" s="154"/>
      <c r="C69" s="155"/>
      <c r="D69" s="156"/>
      <c r="E69" s="156"/>
      <c r="F69" s="156"/>
      <c r="G69" s="156"/>
      <c r="H69" s="156"/>
      <c r="I69" s="156"/>
      <c r="J69" s="156"/>
      <c r="K69" s="156"/>
      <c r="L69" s="157"/>
      <c r="M69" s="158"/>
      <c r="N69" s="159"/>
      <c r="O69" s="159"/>
      <c r="P69" s="159"/>
      <c r="Q69" s="159"/>
      <c r="R69" s="159"/>
      <c r="S69" s="159"/>
      <c r="T69" s="159"/>
      <c r="U69" s="159"/>
      <c r="V69" s="159"/>
      <c r="W69" s="160"/>
    </row>
    <row r="70" spans="1:23" ht="24.95" customHeight="1" thickBot="1">
      <c r="A70" s="161"/>
      <c r="B70" s="162"/>
      <c r="C70" s="163"/>
      <c r="D70" s="164"/>
      <c r="E70" s="164"/>
      <c r="F70" s="164"/>
      <c r="G70" s="164"/>
      <c r="H70" s="164"/>
      <c r="I70" s="164"/>
      <c r="J70" s="164"/>
      <c r="K70" s="164"/>
      <c r="L70" s="165"/>
      <c r="M70" s="166"/>
      <c r="N70" s="167"/>
      <c r="O70" s="167"/>
      <c r="P70" s="167"/>
      <c r="Q70" s="167"/>
      <c r="R70" s="167"/>
      <c r="S70" s="167"/>
      <c r="T70" s="167"/>
      <c r="U70" s="167"/>
      <c r="V70" s="167"/>
      <c r="W70" s="168"/>
    </row>
    <row r="71" spans="1:23" ht="14.25" thickBot="1">
      <c r="A71" s="105"/>
      <c r="B71" s="106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6"/>
      <c r="S71" s="106"/>
      <c r="T71" s="106"/>
      <c r="U71" s="106"/>
      <c r="V71" s="108"/>
      <c r="W71" s="109"/>
    </row>
    <row r="72" spans="1:23" s="2" customFormat="1" ht="12" customHeight="1">
      <c r="A72" s="523" t="s">
        <v>147</v>
      </c>
      <c r="B72" s="524"/>
      <c r="C72" s="524"/>
      <c r="D72" s="524"/>
      <c r="E72" s="524"/>
      <c r="F72" s="524"/>
      <c r="G72" s="524"/>
      <c r="H72" s="524"/>
      <c r="I72" s="524"/>
      <c r="J72" s="524"/>
      <c r="K72" s="524"/>
      <c r="L72" s="524"/>
      <c r="M72" s="524"/>
      <c r="N72" s="524"/>
      <c r="O72" s="524"/>
      <c r="P72" s="524"/>
      <c r="Q72" s="524"/>
      <c r="R72" s="524"/>
      <c r="S72" s="524"/>
      <c r="T72" s="524"/>
      <c r="U72" s="524"/>
      <c r="V72" s="524"/>
      <c r="W72" s="525"/>
    </row>
    <row r="73" spans="1:23" s="2" customFormat="1" ht="33.75" customHeight="1">
      <c r="A73" s="526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8"/>
    </row>
    <row r="74" spans="1:23" s="2" customFormat="1" ht="13.5" customHeight="1">
      <c r="A74" s="512" t="s">
        <v>148</v>
      </c>
      <c r="B74" s="509"/>
      <c r="C74" s="509" t="s">
        <v>149</v>
      </c>
      <c r="D74" s="509"/>
      <c r="E74" s="509" t="s">
        <v>150</v>
      </c>
      <c r="F74" s="509"/>
      <c r="G74" s="509"/>
      <c r="H74" s="509"/>
      <c r="I74" s="509"/>
      <c r="J74" s="509"/>
      <c r="K74" s="509"/>
      <c r="L74" s="509"/>
      <c r="M74" s="509"/>
      <c r="N74" s="509"/>
      <c r="O74" s="509"/>
      <c r="P74" s="509"/>
      <c r="Q74" s="509"/>
      <c r="R74" s="509" t="s">
        <v>151</v>
      </c>
      <c r="S74" s="509"/>
      <c r="T74" s="509" t="s">
        <v>152</v>
      </c>
      <c r="U74" s="509"/>
      <c r="V74" s="509" t="s">
        <v>153</v>
      </c>
      <c r="W74" s="511"/>
    </row>
    <row r="75" spans="1:23" s="2" customFormat="1" ht="13.5" customHeight="1">
      <c r="A75" s="512"/>
      <c r="B75" s="509"/>
      <c r="C75" s="509"/>
      <c r="D75" s="509"/>
      <c r="E75" s="509"/>
      <c r="F75" s="509"/>
      <c r="G75" s="509"/>
      <c r="H75" s="509"/>
      <c r="I75" s="509"/>
      <c r="J75" s="509"/>
      <c r="K75" s="509"/>
      <c r="L75" s="509"/>
      <c r="M75" s="509"/>
      <c r="N75" s="509"/>
      <c r="O75" s="509"/>
      <c r="P75" s="509"/>
      <c r="Q75" s="509"/>
      <c r="R75" s="509"/>
      <c r="S75" s="509"/>
      <c r="T75" s="509"/>
      <c r="U75" s="509"/>
      <c r="V75" s="509"/>
      <c r="W75" s="511"/>
    </row>
    <row r="76" spans="1:23">
      <c r="A76" s="545" t="s">
        <v>154</v>
      </c>
      <c r="B76" s="546"/>
      <c r="C76" s="508" t="s">
        <v>155</v>
      </c>
      <c r="D76" s="508"/>
      <c r="E76" s="508" t="s">
        <v>156</v>
      </c>
      <c r="F76" s="508"/>
      <c r="G76" s="508"/>
      <c r="H76" s="508"/>
      <c r="I76" s="508"/>
      <c r="J76" s="508"/>
      <c r="K76" s="508"/>
      <c r="L76" s="508"/>
      <c r="M76" s="508"/>
      <c r="N76" s="508"/>
      <c r="O76" s="508"/>
      <c r="P76" s="508"/>
      <c r="Q76" s="508"/>
      <c r="R76" s="509" t="s">
        <v>157</v>
      </c>
      <c r="S76" s="509"/>
      <c r="T76" s="510"/>
      <c r="U76" s="510"/>
      <c r="V76" s="509" t="s">
        <v>158</v>
      </c>
      <c r="W76" s="511"/>
    </row>
    <row r="77" spans="1:23">
      <c r="A77" s="545"/>
      <c r="B77" s="546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9"/>
      <c r="S77" s="509"/>
      <c r="T77" s="510"/>
      <c r="U77" s="510"/>
      <c r="V77" s="509"/>
      <c r="W77" s="511"/>
    </row>
    <row r="78" spans="1:23" ht="13.5" customHeight="1">
      <c r="A78" s="512">
        <v>1</v>
      </c>
      <c r="B78" s="509"/>
      <c r="C78" s="508" t="s">
        <v>159</v>
      </c>
      <c r="D78" s="508"/>
      <c r="E78" s="544" t="s">
        <v>183</v>
      </c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09" t="s">
        <v>160</v>
      </c>
      <c r="S78" s="509"/>
      <c r="T78" s="510"/>
      <c r="U78" s="510"/>
      <c r="V78" s="509" t="s">
        <v>161</v>
      </c>
      <c r="W78" s="511"/>
    </row>
    <row r="79" spans="1:23" ht="13.5" customHeight="1">
      <c r="A79" s="512"/>
      <c r="B79" s="509"/>
      <c r="C79" s="508"/>
      <c r="D79" s="508"/>
      <c r="E79" s="544"/>
      <c r="F79" s="544"/>
      <c r="G79" s="544"/>
      <c r="H79" s="544"/>
      <c r="I79" s="544"/>
      <c r="J79" s="544"/>
      <c r="K79" s="544"/>
      <c r="L79" s="544"/>
      <c r="M79" s="544"/>
      <c r="N79" s="544"/>
      <c r="O79" s="544"/>
      <c r="P79" s="544"/>
      <c r="Q79" s="544"/>
      <c r="R79" s="509"/>
      <c r="S79" s="509"/>
      <c r="T79" s="510"/>
      <c r="U79" s="510"/>
      <c r="V79" s="509"/>
      <c r="W79" s="511"/>
    </row>
    <row r="80" spans="1:23">
      <c r="A80" s="512"/>
      <c r="B80" s="509"/>
      <c r="C80" s="508"/>
      <c r="D80" s="508"/>
      <c r="E80" s="544"/>
      <c r="F80" s="544"/>
      <c r="G80" s="544"/>
      <c r="H80" s="544"/>
      <c r="I80" s="544"/>
      <c r="J80" s="544"/>
      <c r="K80" s="544"/>
      <c r="L80" s="544"/>
      <c r="M80" s="544"/>
      <c r="N80" s="544"/>
      <c r="O80" s="544"/>
      <c r="P80" s="544"/>
      <c r="Q80" s="544"/>
      <c r="R80" s="509"/>
      <c r="S80" s="509"/>
      <c r="T80" s="510"/>
      <c r="U80" s="510"/>
      <c r="V80" s="509"/>
      <c r="W80" s="511"/>
    </row>
    <row r="81" spans="1:23">
      <c r="A81" s="512">
        <v>2</v>
      </c>
      <c r="B81" s="509"/>
      <c r="C81" s="508"/>
      <c r="D81" s="508"/>
      <c r="E81" s="542"/>
      <c r="F81" s="542"/>
      <c r="G81" s="542"/>
      <c r="H81" s="542"/>
      <c r="I81" s="542"/>
      <c r="J81" s="542"/>
      <c r="K81" s="542"/>
      <c r="L81" s="542"/>
      <c r="M81" s="542"/>
      <c r="N81" s="542"/>
      <c r="O81" s="542"/>
      <c r="P81" s="542"/>
      <c r="Q81" s="542"/>
      <c r="R81" s="509"/>
      <c r="S81" s="509"/>
      <c r="T81" s="509"/>
      <c r="U81" s="509"/>
      <c r="V81" s="542"/>
      <c r="W81" s="543"/>
    </row>
    <row r="82" spans="1:23">
      <c r="A82" s="512"/>
      <c r="B82" s="509"/>
      <c r="C82" s="508"/>
      <c r="D82" s="508"/>
      <c r="E82" s="542"/>
      <c r="F82" s="542"/>
      <c r="G82" s="542"/>
      <c r="H82" s="542"/>
      <c r="I82" s="542"/>
      <c r="J82" s="542"/>
      <c r="K82" s="542"/>
      <c r="L82" s="542"/>
      <c r="M82" s="542"/>
      <c r="N82" s="542"/>
      <c r="O82" s="542"/>
      <c r="P82" s="542"/>
      <c r="Q82" s="542"/>
      <c r="R82" s="509"/>
      <c r="S82" s="509"/>
      <c r="T82" s="509"/>
      <c r="U82" s="509"/>
      <c r="V82" s="542"/>
      <c r="W82" s="543"/>
    </row>
    <row r="83" spans="1:23">
      <c r="A83" s="512">
        <v>3</v>
      </c>
      <c r="B83" s="509"/>
      <c r="C83" s="508"/>
      <c r="D83" s="508"/>
      <c r="E83" s="542"/>
      <c r="F83" s="542"/>
      <c r="G83" s="542"/>
      <c r="H83" s="542"/>
      <c r="I83" s="542"/>
      <c r="J83" s="542"/>
      <c r="K83" s="542"/>
      <c r="L83" s="542"/>
      <c r="M83" s="542"/>
      <c r="N83" s="542"/>
      <c r="O83" s="542"/>
      <c r="P83" s="542"/>
      <c r="Q83" s="542"/>
      <c r="R83" s="509"/>
      <c r="S83" s="509"/>
      <c r="T83" s="509"/>
      <c r="U83" s="509"/>
      <c r="V83" s="542"/>
      <c r="W83" s="543"/>
    </row>
    <row r="84" spans="1:23">
      <c r="A84" s="512"/>
      <c r="B84" s="509"/>
      <c r="C84" s="508"/>
      <c r="D84" s="508"/>
      <c r="E84" s="542"/>
      <c r="F84" s="542"/>
      <c r="G84" s="542"/>
      <c r="H84" s="542"/>
      <c r="I84" s="542"/>
      <c r="J84" s="542"/>
      <c r="K84" s="542"/>
      <c r="L84" s="542"/>
      <c r="M84" s="542"/>
      <c r="N84" s="542"/>
      <c r="O84" s="542"/>
      <c r="P84" s="542"/>
      <c r="Q84" s="542"/>
      <c r="R84" s="509"/>
      <c r="S84" s="509"/>
      <c r="T84" s="509"/>
      <c r="U84" s="509"/>
      <c r="V84" s="542"/>
      <c r="W84" s="543"/>
    </row>
    <row r="85" spans="1:23">
      <c r="A85" s="512">
        <v>4</v>
      </c>
      <c r="B85" s="509"/>
      <c r="C85" s="508"/>
      <c r="D85" s="508"/>
      <c r="E85" s="542"/>
      <c r="F85" s="542"/>
      <c r="G85" s="542"/>
      <c r="H85" s="542"/>
      <c r="I85" s="542"/>
      <c r="J85" s="542"/>
      <c r="K85" s="542"/>
      <c r="L85" s="542"/>
      <c r="M85" s="542"/>
      <c r="N85" s="542"/>
      <c r="O85" s="542"/>
      <c r="P85" s="542"/>
      <c r="Q85" s="542"/>
      <c r="R85" s="509"/>
      <c r="S85" s="509"/>
      <c r="T85" s="509"/>
      <c r="U85" s="509"/>
      <c r="V85" s="542"/>
      <c r="W85" s="543"/>
    </row>
    <row r="86" spans="1:23">
      <c r="A86" s="512"/>
      <c r="B86" s="509"/>
      <c r="C86" s="508"/>
      <c r="D86" s="508"/>
      <c r="E86" s="542"/>
      <c r="F86" s="542"/>
      <c r="G86" s="542"/>
      <c r="H86" s="542"/>
      <c r="I86" s="542"/>
      <c r="J86" s="542"/>
      <c r="K86" s="542"/>
      <c r="L86" s="542"/>
      <c r="M86" s="542"/>
      <c r="N86" s="542"/>
      <c r="O86" s="542"/>
      <c r="P86" s="542"/>
      <c r="Q86" s="542"/>
      <c r="R86" s="509"/>
      <c r="S86" s="509"/>
      <c r="T86" s="509"/>
      <c r="U86" s="509"/>
      <c r="V86" s="542"/>
      <c r="W86" s="543"/>
    </row>
    <row r="87" spans="1:23">
      <c r="A87" s="512">
        <v>5</v>
      </c>
      <c r="B87" s="509"/>
      <c r="C87" s="508"/>
      <c r="D87" s="508"/>
      <c r="E87" s="542"/>
      <c r="F87" s="542"/>
      <c r="G87" s="542"/>
      <c r="H87" s="542"/>
      <c r="I87" s="542"/>
      <c r="J87" s="542"/>
      <c r="K87" s="542"/>
      <c r="L87" s="542"/>
      <c r="M87" s="542"/>
      <c r="N87" s="542"/>
      <c r="O87" s="542"/>
      <c r="P87" s="542"/>
      <c r="Q87" s="542"/>
      <c r="R87" s="509"/>
      <c r="S87" s="509"/>
      <c r="T87" s="509"/>
      <c r="U87" s="509"/>
      <c r="V87" s="542"/>
      <c r="W87" s="543"/>
    </row>
    <row r="88" spans="1:23" ht="14.25" thickBot="1">
      <c r="A88" s="547"/>
      <c r="B88" s="548"/>
      <c r="C88" s="549"/>
      <c r="D88" s="549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48"/>
      <c r="S88" s="548"/>
      <c r="T88" s="548"/>
      <c r="U88" s="548"/>
      <c r="V88" s="550"/>
      <c r="W88" s="551"/>
    </row>
  </sheetData>
  <mergeCells count="363">
    <mergeCell ref="P4:U5"/>
    <mergeCell ref="V4:W5"/>
    <mergeCell ref="I1:J2"/>
    <mergeCell ref="K1:M2"/>
    <mergeCell ref="A1:H2"/>
    <mergeCell ref="N1:O2"/>
    <mergeCell ref="P1:W2"/>
    <mergeCell ref="A5:B5"/>
    <mergeCell ref="C5:G5"/>
    <mergeCell ref="H5:I5"/>
    <mergeCell ref="J5:M5"/>
    <mergeCell ref="A3:C3"/>
    <mergeCell ref="D3:G3"/>
    <mergeCell ref="N3:O3"/>
    <mergeCell ref="P3:R3"/>
    <mergeCell ref="S3:W3"/>
    <mergeCell ref="A4:B4"/>
    <mergeCell ref="C4:G4"/>
    <mergeCell ref="H4:I4"/>
    <mergeCell ref="J4:M4"/>
    <mergeCell ref="N4:O5"/>
    <mergeCell ref="A7:A8"/>
    <mergeCell ref="B7:C8"/>
    <mergeCell ref="D7:D8"/>
    <mergeCell ref="E7:F8"/>
    <mergeCell ref="G7:G8"/>
    <mergeCell ref="H7:I8"/>
    <mergeCell ref="J7:J8"/>
    <mergeCell ref="K7:L8"/>
    <mergeCell ref="A6:C6"/>
    <mergeCell ref="D6:F6"/>
    <mergeCell ref="G6:I6"/>
    <mergeCell ref="J6:L6"/>
    <mergeCell ref="M7:M8"/>
    <mergeCell ref="N7:O8"/>
    <mergeCell ref="P7:P8"/>
    <mergeCell ref="Q7:R8"/>
    <mergeCell ref="S7:T7"/>
    <mergeCell ref="U7:W7"/>
    <mergeCell ref="S8:T9"/>
    <mergeCell ref="U8:W9"/>
    <mergeCell ref="S6:T6"/>
    <mergeCell ref="U6:W6"/>
    <mergeCell ref="M6:O6"/>
    <mergeCell ref="P6:R6"/>
    <mergeCell ref="A9:E9"/>
    <mergeCell ref="F9:L9"/>
    <mergeCell ref="M9:R9"/>
    <mergeCell ref="A10:C10"/>
    <mergeCell ref="D10:E10"/>
    <mergeCell ref="F10:G11"/>
    <mergeCell ref="H10:I10"/>
    <mergeCell ref="K10:M11"/>
    <mergeCell ref="N10:Q11"/>
    <mergeCell ref="R10:W10"/>
    <mergeCell ref="S12:T13"/>
    <mergeCell ref="U12:W13"/>
    <mergeCell ref="S14:T14"/>
    <mergeCell ref="U14:W14"/>
    <mergeCell ref="G15:L15"/>
    <mergeCell ref="S15:T16"/>
    <mergeCell ref="U15:W16"/>
    <mergeCell ref="A11:E11"/>
    <mergeCell ref="H11:J11"/>
    <mergeCell ref="R11:T11"/>
    <mergeCell ref="U11:W11"/>
    <mergeCell ref="B12:C13"/>
    <mergeCell ref="F12:F13"/>
    <mergeCell ref="I12:J13"/>
    <mergeCell ref="K12:K13"/>
    <mergeCell ref="L12:M13"/>
    <mergeCell ref="O12:P13"/>
    <mergeCell ref="S17:W17"/>
    <mergeCell ref="D18:F18"/>
    <mergeCell ref="G18:I18"/>
    <mergeCell ref="J18:L18"/>
    <mergeCell ref="O18:Q18"/>
    <mergeCell ref="S18:W18"/>
    <mergeCell ref="A16:B18"/>
    <mergeCell ref="D16:F16"/>
    <mergeCell ref="G16:I16"/>
    <mergeCell ref="J16:L16"/>
    <mergeCell ref="M16:N16"/>
    <mergeCell ref="O16:Q16"/>
    <mergeCell ref="M17:N19"/>
    <mergeCell ref="O17:Q17"/>
    <mergeCell ref="A19:C19"/>
    <mergeCell ref="D19:F19"/>
    <mergeCell ref="G19:I19"/>
    <mergeCell ref="J19:L19"/>
    <mergeCell ref="O19:Q19"/>
    <mergeCell ref="S19:W19"/>
    <mergeCell ref="A23:C23"/>
    <mergeCell ref="D23:Q23"/>
    <mergeCell ref="S23:S24"/>
    <mergeCell ref="U20:W20"/>
    <mergeCell ref="A21:C21"/>
    <mergeCell ref="D21:F21"/>
    <mergeCell ref="G21:L21"/>
    <mergeCell ref="M21:Q21"/>
    <mergeCell ref="S21:T21"/>
    <mergeCell ref="U21:W21"/>
    <mergeCell ref="W23:W24"/>
    <mergeCell ref="D24:F24"/>
    <mergeCell ref="T24:V24"/>
    <mergeCell ref="A20:C20"/>
    <mergeCell ref="D20:F20"/>
    <mergeCell ref="G20:I20"/>
    <mergeCell ref="J20:L20"/>
    <mergeCell ref="O20:Q20"/>
    <mergeCell ref="S20:T20"/>
    <mergeCell ref="A22:C22"/>
    <mergeCell ref="D22:Q22"/>
    <mergeCell ref="T22:V22"/>
    <mergeCell ref="A28:D30"/>
    <mergeCell ref="E28:M30"/>
    <mergeCell ref="R28:T28"/>
    <mergeCell ref="Q25:Q26"/>
    <mergeCell ref="R25:S25"/>
    <mergeCell ref="U25:V25"/>
    <mergeCell ref="D26:F26"/>
    <mergeCell ref="I26:K26"/>
    <mergeCell ref="O26:P27"/>
    <mergeCell ref="R26:T26"/>
    <mergeCell ref="U26:W26"/>
    <mergeCell ref="D27:F27"/>
    <mergeCell ref="I27:K27"/>
    <mergeCell ref="U28:W28"/>
    <mergeCell ref="A25:B27"/>
    <mergeCell ref="D25:F25"/>
    <mergeCell ref="G25:H27"/>
    <mergeCell ref="I25:K25"/>
    <mergeCell ref="L25:L27"/>
    <mergeCell ref="N25:N26"/>
    <mergeCell ref="O25:P25"/>
    <mergeCell ref="O28:P31"/>
    <mergeCell ref="R29:T29"/>
    <mergeCell ref="U29:W29"/>
    <mergeCell ref="R30:T30"/>
    <mergeCell ref="U30:W30"/>
    <mergeCell ref="N27:N31"/>
    <mergeCell ref="Q27:Q31"/>
    <mergeCell ref="R27:T27"/>
    <mergeCell ref="U27:W27"/>
    <mergeCell ref="R31:T31"/>
    <mergeCell ref="U31:W31"/>
    <mergeCell ref="A41:W41"/>
    <mergeCell ref="N32:R33"/>
    <mergeCell ref="S32:S33"/>
    <mergeCell ref="T32:U33"/>
    <mergeCell ref="V32:W33"/>
    <mergeCell ref="A31:D32"/>
    <mergeCell ref="E31:F31"/>
    <mergeCell ref="G31:H31"/>
    <mergeCell ref="I31:J31"/>
    <mergeCell ref="K31:M31"/>
    <mergeCell ref="A33:D33"/>
    <mergeCell ref="E33:M33"/>
    <mergeCell ref="E32:F32"/>
    <mergeCell ref="G32:H32"/>
    <mergeCell ref="I32:J32"/>
    <mergeCell ref="K32:M32"/>
    <mergeCell ref="A34:M34"/>
    <mergeCell ref="N34:W34"/>
    <mergeCell ref="A35:M40"/>
    <mergeCell ref="N35:W36"/>
    <mergeCell ref="N37:W40"/>
    <mergeCell ref="A42:B43"/>
    <mergeCell ref="C42:G43"/>
    <mergeCell ref="H42:K43"/>
    <mergeCell ref="L42:M43"/>
    <mergeCell ref="N42:W43"/>
    <mergeCell ref="A50:W51"/>
    <mergeCell ref="A48:F48"/>
    <mergeCell ref="J48:O48"/>
    <mergeCell ref="S48:W48"/>
    <mergeCell ref="N44:W47"/>
    <mergeCell ref="L45:M46"/>
    <mergeCell ref="A52:B52"/>
    <mergeCell ref="C52:D52"/>
    <mergeCell ref="E52:F52"/>
    <mergeCell ref="A45:B45"/>
    <mergeCell ref="C45:G45"/>
    <mergeCell ref="A44:B44"/>
    <mergeCell ref="C44:G44"/>
    <mergeCell ref="H44:K47"/>
    <mergeCell ref="L44:M44"/>
    <mergeCell ref="A47:B47"/>
    <mergeCell ref="C47:G47"/>
    <mergeCell ref="L47:M47"/>
    <mergeCell ref="A46:B46"/>
    <mergeCell ref="C46:G46"/>
    <mergeCell ref="G52:H52"/>
    <mergeCell ref="I52:J52"/>
    <mergeCell ref="K52:L52"/>
    <mergeCell ref="M52:W52"/>
    <mergeCell ref="A72:W73"/>
    <mergeCell ref="A67:B67"/>
    <mergeCell ref="C67:D67"/>
    <mergeCell ref="E67:F67"/>
    <mergeCell ref="G67:H67"/>
    <mergeCell ref="I67:J67"/>
    <mergeCell ref="K67:L67"/>
    <mergeCell ref="M67:W67"/>
    <mergeCell ref="C68:D68"/>
    <mergeCell ref="E68:F68"/>
    <mergeCell ref="G68:H68"/>
    <mergeCell ref="I68:J68"/>
    <mergeCell ref="K68:L68"/>
    <mergeCell ref="I70:J70"/>
    <mergeCell ref="K70:L70"/>
    <mergeCell ref="M70:W70"/>
    <mergeCell ref="A78:B80"/>
    <mergeCell ref="C78:D80"/>
    <mergeCell ref="E78:Q80"/>
    <mergeCell ref="R78:S80"/>
    <mergeCell ref="T78:U80"/>
    <mergeCell ref="V78:W80"/>
    <mergeCell ref="A74:B75"/>
    <mergeCell ref="C74:D75"/>
    <mergeCell ref="E74:Q75"/>
    <mergeCell ref="R74:S75"/>
    <mergeCell ref="T74:U75"/>
    <mergeCell ref="V74:W75"/>
    <mergeCell ref="A76:B77"/>
    <mergeCell ref="C76:D77"/>
    <mergeCell ref="E76:Q77"/>
    <mergeCell ref="R76:S77"/>
    <mergeCell ref="T76:U77"/>
    <mergeCell ref="V76:W77"/>
    <mergeCell ref="T85:U86"/>
    <mergeCell ref="V85:W86"/>
    <mergeCell ref="A83:B84"/>
    <mergeCell ref="C83:D84"/>
    <mergeCell ref="E83:Q84"/>
    <mergeCell ref="R83:S84"/>
    <mergeCell ref="T83:U84"/>
    <mergeCell ref="V83:W84"/>
    <mergeCell ref="A81:B82"/>
    <mergeCell ref="C81:D82"/>
    <mergeCell ref="E81:Q82"/>
    <mergeCell ref="R81:S82"/>
    <mergeCell ref="T81:U82"/>
    <mergeCell ref="V81:W82"/>
    <mergeCell ref="A85:B86"/>
    <mergeCell ref="C85:D86"/>
    <mergeCell ref="E85:Q86"/>
    <mergeCell ref="R85:S86"/>
    <mergeCell ref="A53:B53"/>
    <mergeCell ref="C53:D53"/>
    <mergeCell ref="E53:F53"/>
    <mergeCell ref="G53:H53"/>
    <mergeCell ref="I53:J53"/>
    <mergeCell ref="K53:L53"/>
    <mergeCell ref="M53:W53"/>
    <mergeCell ref="K55:L55"/>
    <mergeCell ref="M55:W55"/>
    <mergeCell ref="A54:B54"/>
    <mergeCell ref="C54:D54"/>
    <mergeCell ref="E54:F54"/>
    <mergeCell ref="G54:H54"/>
    <mergeCell ref="I54:J54"/>
    <mergeCell ref="K54:L54"/>
    <mergeCell ref="M54:W54"/>
    <mergeCell ref="A55:B55"/>
    <mergeCell ref="C55:D55"/>
    <mergeCell ref="E55:F55"/>
    <mergeCell ref="G55:H55"/>
    <mergeCell ref="I55:J55"/>
    <mergeCell ref="A56:B56"/>
    <mergeCell ref="C56:D56"/>
    <mergeCell ref="E56:F56"/>
    <mergeCell ref="G56:H56"/>
    <mergeCell ref="I56:J56"/>
    <mergeCell ref="K56:L56"/>
    <mergeCell ref="M56:W56"/>
    <mergeCell ref="A57:B57"/>
    <mergeCell ref="C57:D57"/>
    <mergeCell ref="E57:F57"/>
    <mergeCell ref="G57:H57"/>
    <mergeCell ref="I57:J57"/>
    <mergeCell ref="K57:L57"/>
    <mergeCell ref="M57:W57"/>
    <mergeCell ref="A58:B58"/>
    <mergeCell ref="C58:D58"/>
    <mergeCell ref="E58:F58"/>
    <mergeCell ref="G58:H58"/>
    <mergeCell ref="I58:J58"/>
    <mergeCell ref="K58:L58"/>
    <mergeCell ref="M58:W58"/>
    <mergeCell ref="K60:L60"/>
    <mergeCell ref="M60:W60"/>
    <mergeCell ref="A59:B59"/>
    <mergeCell ref="C59:D59"/>
    <mergeCell ref="E59:F59"/>
    <mergeCell ref="G59:H59"/>
    <mergeCell ref="I59:J59"/>
    <mergeCell ref="K59:L59"/>
    <mergeCell ref="M59:W59"/>
    <mergeCell ref="A60:B60"/>
    <mergeCell ref="C60:D60"/>
    <mergeCell ref="E60:F60"/>
    <mergeCell ref="G60:H60"/>
    <mergeCell ref="I60:J60"/>
    <mergeCell ref="A61:B61"/>
    <mergeCell ref="C61:D61"/>
    <mergeCell ref="E61:F61"/>
    <mergeCell ref="G61:H61"/>
    <mergeCell ref="I61:J61"/>
    <mergeCell ref="K61:L61"/>
    <mergeCell ref="M61:W61"/>
    <mergeCell ref="A62:B62"/>
    <mergeCell ref="C62:D62"/>
    <mergeCell ref="E62:F62"/>
    <mergeCell ref="G62:H62"/>
    <mergeCell ref="I62:J62"/>
    <mergeCell ref="K62:L62"/>
    <mergeCell ref="M62:W62"/>
    <mergeCell ref="A63:B63"/>
    <mergeCell ref="C63:D63"/>
    <mergeCell ref="E63:F63"/>
    <mergeCell ref="G63:H63"/>
    <mergeCell ref="I63:J63"/>
    <mergeCell ref="K63:L63"/>
    <mergeCell ref="M63:W63"/>
    <mergeCell ref="K65:L65"/>
    <mergeCell ref="M65:W65"/>
    <mergeCell ref="A64:B64"/>
    <mergeCell ref="C64:D64"/>
    <mergeCell ref="E64:F64"/>
    <mergeCell ref="G64:H64"/>
    <mergeCell ref="I64:J64"/>
    <mergeCell ref="K64:L64"/>
    <mergeCell ref="M64:W64"/>
    <mergeCell ref="A65:B65"/>
    <mergeCell ref="C65:D65"/>
    <mergeCell ref="E65:F65"/>
    <mergeCell ref="G65:H65"/>
    <mergeCell ref="I65:J65"/>
    <mergeCell ref="A66:B66"/>
    <mergeCell ref="C66:D66"/>
    <mergeCell ref="E66:F66"/>
    <mergeCell ref="G66:H66"/>
    <mergeCell ref="I66:J66"/>
    <mergeCell ref="K66:L66"/>
    <mergeCell ref="M66:W66"/>
    <mergeCell ref="A87:B88"/>
    <mergeCell ref="C87:D88"/>
    <mergeCell ref="E87:Q88"/>
    <mergeCell ref="R87:S88"/>
    <mergeCell ref="T87:U88"/>
    <mergeCell ref="V87:W88"/>
    <mergeCell ref="A69:B69"/>
    <mergeCell ref="C69:D69"/>
    <mergeCell ref="E69:F69"/>
    <mergeCell ref="G69:H69"/>
    <mergeCell ref="I69:J69"/>
    <mergeCell ref="K69:L69"/>
    <mergeCell ref="M69:W69"/>
    <mergeCell ref="A70:B70"/>
    <mergeCell ref="C70:D70"/>
    <mergeCell ref="E70:F70"/>
    <mergeCell ref="G70:H70"/>
  </mergeCells>
  <phoneticPr fontId="3" type="noConversion"/>
  <conditionalFormatting sqref="G21:Q21">
    <cfRule type="cellIs" dxfId="3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9.9978637043366805E-2"/>
  </sheetPr>
  <dimension ref="A1:AA88"/>
  <sheetViews>
    <sheetView showGridLines="0" showZeros="0" view="pageBreakPreview" zoomScale="85" zoomScaleNormal="100" zoomScaleSheetLayoutView="85" workbookViewId="0">
      <selection activeCell="B7" sqref="B7:C8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371" t="s">
        <v>223</v>
      </c>
      <c r="J1" s="372"/>
      <c r="K1" s="365">
        <f>sheet1!K1</f>
        <v>0</v>
      </c>
      <c r="L1" s="366"/>
      <c r="M1" s="367"/>
      <c r="N1" s="343" t="s">
        <v>6</v>
      </c>
      <c r="O1" s="344"/>
      <c r="P1" s="347" t="str">
        <f>sheet1!P1</f>
        <v>000000-00-00-00</v>
      </c>
      <c r="Q1" s="347"/>
      <c r="R1" s="347"/>
      <c r="S1" s="347"/>
      <c r="T1" s="347"/>
      <c r="U1" s="347"/>
      <c r="V1" s="347"/>
      <c r="W1" s="348"/>
    </row>
    <row r="2" spans="1:27" ht="20.100000000000001" customHeight="1" thickBot="1">
      <c r="A2" s="362"/>
      <c r="B2" s="349"/>
      <c r="C2" s="349"/>
      <c r="D2" s="349"/>
      <c r="E2" s="349"/>
      <c r="F2" s="349"/>
      <c r="G2" s="349"/>
      <c r="H2" s="349"/>
      <c r="I2" s="373"/>
      <c r="J2" s="374"/>
      <c r="K2" s="368"/>
      <c r="L2" s="369"/>
      <c r="M2" s="370"/>
      <c r="N2" s="345"/>
      <c r="O2" s="346"/>
      <c r="P2" s="349"/>
      <c r="Q2" s="349"/>
      <c r="R2" s="349"/>
      <c r="S2" s="349"/>
      <c r="T2" s="349"/>
      <c r="U2" s="349"/>
      <c r="V2" s="349"/>
      <c r="W2" s="350"/>
    </row>
    <row r="3" spans="1:27" s="2" customFormat="1" ht="15" customHeight="1">
      <c r="A3" s="351" t="s">
        <v>0</v>
      </c>
      <c r="B3" s="352"/>
      <c r="C3" s="352"/>
      <c r="D3" s="360">
        <f>sheet1!D3</f>
        <v>0</v>
      </c>
      <c r="E3" s="360"/>
      <c r="F3" s="360"/>
      <c r="G3" s="360"/>
      <c r="H3" s="1"/>
      <c r="I3" s="1"/>
      <c r="J3" s="1"/>
      <c r="K3" s="1"/>
      <c r="L3" s="1"/>
      <c r="M3" s="1"/>
      <c r="N3" s="353" t="s">
        <v>1</v>
      </c>
      <c r="O3" s="354"/>
      <c r="P3" s="355">
        <f>sheet1!P3</f>
        <v>0</v>
      </c>
      <c r="Q3" s="352"/>
      <c r="R3" s="356"/>
      <c r="S3" s="357" t="s">
        <v>121</v>
      </c>
      <c r="T3" s="358"/>
      <c r="U3" s="358"/>
      <c r="V3" s="358"/>
      <c r="W3" s="359"/>
    </row>
    <row r="4" spans="1:27" s="2" customFormat="1" ht="24.95" customHeight="1">
      <c r="A4" s="363" t="s">
        <v>2</v>
      </c>
      <c r="B4" s="364"/>
      <c r="C4" s="375">
        <f>sheet1!C4</f>
        <v>0</v>
      </c>
      <c r="D4" s="376"/>
      <c r="E4" s="376"/>
      <c r="F4" s="376"/>
      <c r="G4" s="377"/>
      <c r="H4" s="364" t="s">
        <v>3</v>
      </c>
      <c r="I4" s="364"/>
      <c r="J4" s="378">
        <f>sheet1!J4</f>
        <v>0</v>
      </c>
      <c r="K4" s="379"/>
      <c r="L4" s="379"/>
      <c r="M4" s="379"/>
      <c r="N4" s="445" t="s">
        <v>52</v>
      </c>
      <c r="O4" s="396"/>
      <c r="P4" s="384">
        <f>sheet1!P4</f>
        <v>0</v>
      </c>
      <c r="Q4" s="385"/>
      <c r="R4" s="385"/>
      <c r="S4" s="385"/>
      <c r="T4" s="385"/>
      <c r="U4" s="385"/>
      <c r="V4" s="380" t="str">
        <f>QRCode(sheet1!P1)</f>
        <v/>
      </c>
      <c r="W4" s="381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>
      <c r="A5" s="460" t="s">
        <v>4</v>
      </c>
      <c r="B5" s="461"/>
      <c r="C5" s="462">
        <f>sheet1!C5</f>
        <v>0</v>
      </c>
      <c r="D5" s="463"/>
      <c r="E5" s="463"/>
      <c r="F5" s="463"/>
      <c r="G5" s="464"/>
      <c r="H5" s="465" t="s">
        <v>5</v>
      </c>
      <c r="I5" s="466"/>
      <c r="J5" s="467">
        <f>sheet1!J5</f>
        <v>0</v>
      </c>
      <c r="K5" s="468"/>
      <c r="L5" s="468"/>
      <c r="M5" s="468"/>
      <c r="N5" s="345"/>
      <c r="O5" s="346"/>
      <c r="P5" s="386"/>
      <c r="Q5" s="387"/>
      <c r="R5" s="387"/>
      <c r="S5" s="387"/>
      <c r="T5" s="387"/>
      <c r="U5" s="387"/>
      <c r="V5" s="382"/>
      <c r="W5" s="383"/>
      <c r="Y5" s="2" t="s">
        <v>239</v>
      </c>
      <c r="Z5" s="2" t="str">
        <f>MID(Y5,9,1)</f>
        <v>0</v>
      </c>
      <c r="AA5" s="2">
        <f>Z5*1</f>
        <v>0</v>
      </c>
    </row>
    <row r="6" spans="1:27" s="2" customFormat="1" ht="16.5" customHeight="1">
      <c r="A6" s="469" t="s">
        <v>179</v>
      </c>
      <c r="B6" s="388"/>
      <c r="C6" s="388"/>
      <c r="D6" s="458" t="s">
        <v>179</v>
      </c>
      <c r="E6" s="388"/>
      <c r="F6" s="470"/>
      <c r="G6" s="388" t="s">
        <v>179</v>
      </c>
      <c r="H6" s="388"/>
      <c r="I6" s="388"/>
      <c r="J6" s="458" t="s">
        <v>179</v>
      </c>
      <c r="K6" s="388"/>
      <c r="L6" s="470"/>
      <c r="M6" s="388" t="s">
        <v>179</v>
      </c>
      <c r="N6" s="388"/>
      <c r="O6" s="388"/>
      <c r="P6" s="458" t="s">
        <v>179</v>
      </c>
      <c r="Q6" s="388"/>
      <c r="R6" s="459"/>
      <c r="S6" s="456" t="s">
        <v>169</v>
      </c>
      <c r="T6" s="457"/>
      <c r="U6" s="453">
        <f>sheet1!U6</f>
        <v>0</v>
      </c>
      <c r="V6" s="454"/>
      <c r="W6" s="455"/>
    </row>
    <row r="7" spans="1:27" s="2" customFormat="1" ht="16.5" customHeight="1">
      <c r="A7" s="409" t="s">
        <v>64</v>
      </c>
      <c r="B7" s="300" t="s">
        <v>65</v>
      </c>
      <c r="C7" s="301"/>
      <c r="D7" s="304" t="s">
        <v>66</v>
      </c>
      <c r="E7" s="300" t="s">
        <v>67</v>
      </c>
      <c r="F7" s="420"/>
      <c r="G7" s="422" t="s">
        <v>68</v>
      </c>
      <c r="H7" s="300" t="s">
        <v>69</v>
      </c>
      <c r="I7" s="301"/>
      <c r="J7" s="304" t="s">
        <v>170</v>
      </c>
      <c r="K7" s="300" t="s">
        <v>86</v>
      </c>
      <c r="L7" s="420"/>
      <c r="M7" s="422" t="s">
        <v>71</v>
      </c>
      <c r="N7" s="300" t="s">
        <v>90</v>
      </c>
      <c r="O7" s="301"/>
      <c r="P7" s="304" t="s">
        <v>88</v>
      </c>
      <c r="Q7" s="300" t="s">
        <v>92</v>
      </c>
      <c r="R7" s="400"/>
      <c r="S7" s="395" t="s">
        <v>171</v>
      </c>
      <c r="T7" s="396"/>
      <c r="U7" s="397">
        <f>sheet1!U7</f>
        <v>0</v>
      </c>
      <c r="V7" s="398"/>
      <c r="W7" s="399"/>
    </row>
    <row r="8" spans="1:27" s="2" customFormat="1" ht="16.5" customHeight="1">
      <c r="A8" s="410"/>
      <c r="B8" s="302"/>
      <c r="C8" s="303"/>
      <c r="D8" s="305"/>
      <c r="E8" s="302"/>
      <c r="F8" s="421"/>
      <c r="G8" s="423"/>
      <c r="H8" s="302"/>
      <c r="I8" s="303"/>
      <c r="J8" s="305"/>
      <c r="K8" s="302"/>
      <c r="L8" s="421"/>
      <c r="M8" s="423"/>
      <c r="N8" s="302"/>
      <c r="O8" s="303"/>
      <c r="P8" s="305"/>
      <c r="Q8" s="302"/>
      <c r="R8" s="401"/>
      <c r="S8" s="417" t="s">
        <v>139</v>
      </c>
      <c r="T8" s="418"/>
      <c r="U8" s="389"/>
      <c r="V8" s="390"/>
      <c r="W8" s="391"/>
    </row>
    <row r="9" spans="1:27" s="2" customFormat="1" ht="16.5" customHeight="1" thickBot="1">
      <c r="A9" s="319" t="s">
        <v>172</v>
      </c>
      <c r="B9" s="320"/>
      <c r="C9" s="320"/>
      <c r="D9" s="320"/>
      <c r="E9" s="320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275"/>
      <c r="T9" s="419"/>
      <c r="U9" s="392"/>
      <c r="V9" s="393"/>
      <c r="W9" s="394"/>
    </row>
    <row r="10" spans="1:27" s="4" customFormat="1" ht="15" customHeight="1">
      <c r="A10" s="238" t="s">
        <v>9</v>
      </c>
      <c r="B10" s="278"/>
      <c r="C10" s="278"/>
      <c r="D10" s="446" t="s">
        <v>144</v>
      </c>
      <c r="E10" s="446"/>
      <c r="F10" s="284" t="s">
        <v>175</v>
      </c>
      <c r="G10" s="285"/>
      <c r="H10" s="429" t="s">
        <v>140</v>
      </c>
      <c r="I10" s="430"/>
      <c r="J10" s="74"/>
      <c r="K10" s="414" t="s">
        <v>176</v>
      </c>
      <c r="L10" s="415"/>
      <c r="M10" s="415"/>
      <c r="N10" s="447" t="s">
        <v>193</v>
      </c>
      <c r="O10" s="448"/>
      <c r="P10" s="448"/>
      <c r="Q10" s="449"/>
      <c r="R10" s="287" t="s">
        <v>194</v>
      </c>
      <c r="S10" s="288"/>
      <c r="T10" s="288"/>
      <c r="U10" s="288"/>
      <c r="V10" s="288"/>
      <c r="W10" s="289"/>
    </row>
    <row r="11" spans="1:27" s="4" customFormat="1" ht="24" customHeight="1" thickBot="1">
      <c r="A11" s="424" t="s">
        <v>178</v>
      </c>
      <c r="B11" s="425"/>
      <c r="C11" s="425"/>
      <c r="D11" s="425"/>
      <c r="E11" s="405"/>
      <c r="F11" s="286"/>
      <c r="G11" s="286"/>
      <c r="H11" s="426"/>
      <c r="I11" s="427"/>
      <c r="J11" s="428"/>
      <c r="K11" s="416"/>
      <c r="L11" s="416"/>
      <c r="M11" s="416"/>
      <c r="N11" s="450"/>
      <c r="O11" s="451"/>
      <c r="P11" s="451"/>
      <c r="Q11" s="452"/>
      <c r="R11" s="290" t="s">
        <v>195</v>
      </c>
      <c r="S11" s="291"/>
      <c r="T11" s="291"/>
      <c r="U11" s="291" t="s">
        <v>196</v>
      </c>
      <c r="V11" s="291"/>
      <c r="W11" s="292"/>
    </row>
    <row r="12" spans="1:27" s="4" customFormat="1" ht="9.9499999999999993" customHeight="1">
      <c r="A12" s="51"/>
      <c r="B12" s="238"/>
      <c r="C12" s="239"/>
      <c r="D12" s="3"/>
      <c r="E12" s="47"/>
      <c r="F12" s="239"/>
      <c r="G12" s="3"/>
      <c r="H12" s="5"/>
      <c r="I12" s="238"/>
      <c r="J12" s="239"/>
      <c r="K12" s="273"/>
      <c r="L12" s="238"/>
      <c r="M12" s="239"/>
      <c r="N12" s="5"/>
      <c r="O12" s="238"/>
      <c r="P12" s="239"/>
      <c r="Q12" s="6"/>
      <c r="R12" s="7"/>
      <c r="S12" s="238" t="s">
        <v>10</v>
      </c>
      <c r="T12" s="299"/>
      <c r="U12" s="293" t="str">
        <f>sheet1!U12</f>
        <v>100℃±10℃</v>
      </c>
      <c r="V12" s="294"/>
      <c r="W12" s="295"/>
    </row>
    <row r="13" spans="1:27" s="4" customFormat="1" ht="9.9499999999999993" customHeight="1" thickBot="1">
      <c r="A13" s="51"/>
      <c r="B13" s="240"/>
      <c r="C13" s="241"/>
      <c r="D13" s="3"/>
      <c r="E13" s="52"/>
      <c r="F13" s="241"/>
      <c r="G13" s="3"/>
      <c r="H13" s="5"/>
      <c r="I13" s="240"/>
      <c r="J13" s="241"/>
      <c r="K13" s="273"/>
      <c r="L13" s="240"/>
      <c r="M13" s="241"/>
      <c r="N13" s="5"/>
      <c r="O13" s="240"/>
      <c r="P13" s="241"/>
      <c r="Q13" s="6"/>
      <c r="R13" s="7"/>
      <c r="S13" s="236"/>
      <c r="T13" s="237"/>
      <c r="U13" s="296"/>
      <c r="V13" s="297"/>
      <c r="W13" s="298"/>
    </row>
    <row r="14" spans="1:27" s="4" customFormat="1" ht="15" customHeight="1">
      <c r="A14" s="51"/>
      <c r="B14" s="48"/>
      <c r="C14" s="3"/>
      <c r="D14" s="3"/>
      <c r="E14" s="3"/>
      <c r="F14" s="6"/>
      <c r="G14" s="7"/>
      <c r="H14" s="7"/>
      <c r="I14" s="53"/>
      <c r="J14" s="3"/>
      <c r="K14" s="3"/>
      <c r="L14" s="53"/>
      <c r="M14" s="3"/>
      <c r="N14" s="3"/>
      <c r="O14" s="8"/>
      <c r="P14" s="3"/>
      <c r="Q14" s="3"/>
      <c r="R14" s="3"/>
      <c r="S14" s="306" t="s">
        <v>11</v>
      </c>
      <c r="T14" s="307"/>
      <c r="U14" s="411" t="str">
        <f>sheet1!U14</f>
        <v>40M</v>
      </c>
      <c r="V14" s="412"/>
      <c r="W14" s="413"/>
    </row>
    <row r="15" spans="1:27" s="4" customFormat="1" ht="20.100000000000001" customHeight="1" thickBot="1">
      <c r="A15" s="51"/>
      <c r="B15" s="53"/>
      <c r="C15" s="3"/>
      <c r="D15" s="3"/>
      <c r="E15" s="3"/>
      <c r="F15" s="9"/>
      <c r="G15" s="427" t="str">
        <f>sheet1!G15</f>
        <v>930℃±10℃</v>
      </c>
      <c r="H15" s="427"/>
      <c r="I15" s="427"/>
      <c r="J15" s="427"/>
      <c r="K15" s="427"/>
      <c r="L15" s="475"/>
      <c r="M15" s="3"/>
      <c r="N15" s="53"/>
      <c r="O15" s="3"/>
      <c r="P15" s="3"/>
      <c r="Q15" s="3"/>
      <c r="R15" s="3"/>
      <c r="S15" s="234" t="s">
        <v>12</v>
      </c>
      <c r="T15" s="235"/>
      <c r="U15" s="402" t="str">
        <f>sheet1!U15</f>
        <v>60Hz</v>
      </c>
      <c r="V15" s="403"/>
      <c r="W15" s="404"/>
    </row>
    <row r="16" spans="1:27" s="4" customFormat="1" ht="20.100000000000001" customHeight="1" thickBot="1">
      <c r="A16" s="476" t="s">
        <v>13</v>
      </c>
      <c r="B16" s="477"/>
      <c r="C16" s="10"/>
      <c r="D16" s="272"/>
      <c r="E16" s="272"/>
      <c r="F16" s="186"/>
      <c r="G16" s="278" t="s">
        <v>14</v>
      </c>
      <c r="H16" s="278"/>
      <c r="I16" s="278"/>
      <c r="J16" s="238" t="s">
        <v>15</v>
      </c>
      <c r="K16" s="278"/>
      <c r="L16" s="239"/>
      <c r="M16" s="487"/>
      <c r="N16" s="488"/>
      <c r="O16" s="275" t="str">
        <f>sheet1!O16</f>
        <v>860℃±10℃</v>
      </c>
      <c r="P16" s="276"/>
      <c r="Q16" s="276"/>
      <c r="R16" s="50"/>
      <c r="S16" s="236"/>
      <c r="T16" s="237"/>
      <c r="U16" s="296"/>
      <c r="V16" s="297"/>
      <c r="W16" s="298"/>
    </row>
    <row r="17" spans="1:25" s="4" customFormat="1" ht="17.25" customHeight="1">
      <c r="A17" s="478"/>
      <c r="B17" s="479"/>
      <c r="C17" s="3"/>
      <c r="D17" s="51"/>
      <c r="E17" s="3"/>
      <c r="F17" s="53"/>
      <c r="G17" s="3"/>
      <c r="H17" s="3"/>
      <c r="I17" s="3"/>
      <c r="J17" s="51"/>
      <c r="K17" s="3"/>
      <c r="L17" s="53"/>
      <c r="M17" s="494" t="s">
        <v>122</v>
      </c>
      <c r="N17" s="495"/>
      <c r="O17" s="238" t="s">
        <v>16</v>
      </c>
      <c r="P17" s="278"/>
      <c r="Q17" s="239"/>
      <c r="R17" s="11"/>
      <c r="S17" s="282" t="s">
        <v>17</v>
      </c>
      <c r="T17" s="282"/>
      <c r="U17" s="282"/>
      <c r="V17" s="282"/>
      <c r="W17" s="283"/>
    </row>
    <row r="18" spans="1:25" s="4" customFormat="1" ht="17.25" customHeight="1" thickBot="1">
      <c r="A18" s="480"/>
      <c r="B18" s="481"/>
      <c r="C18" s="7"/>
      <c r="D18" s="275" t="s">
        <v>18</v>
      </c>
      <c r="E18" s="276"/>
      <c r="F18" s="277"/>
      <c r="G18" s="276" t="s">
        <v>19</v>
      </c>
      <c r="H18" s="276"/>
      <c r="I18" s="276"/>
      <c r="J18" s="275" t="s">
        <v>20</v>
      </c>
      <c r="K18" s="276"/>
      <c r="L18" s="277"/>
      <c r="M18" s="496"/>
      <c r="N18" s="497"/>
      <c r="O18" s="275" t="s">
        <v>21</v>
      </c>
      <c r="P18" s="276"/>
      <c r="Q18" s="277"/>
      <c r="R18" s="6"/>
      <c r="S18" s="183"/>
      <c r="T18" s="184"/>
      <c r="U18" s="184"/>
      <c r="V18" s="184"/>
      <c r="W18" s="185"/>
    </row>
    <row r="19" spans="1:25" s="4" customFormat="1" ht="17.25" customHeight="1">
      <c r="A19" s="492" t="s">
        <v>22</v>
      </c>
      <c r="B19" s="493"/>
      <c r="C19" s="196"/>
      <c r="D19" s="315" t="s">
        <v>23</v>
      </c>
      <c r="E19" s="245"/>
      <c r="F19" s="246"/>
      <c r="G19" s="245" t="str">
        <f>sheet1!G19</f>
        <v>5Hr00M</v>
      </c>
      <c r="H19" s="245"/>
      <c r="I19" s="245"/>
      <c r="J19" s="315" t="str">
        <f>sheet1!J19</f>
        <v>40M</v>
      </c>
      <c r="K19" s="245"/>
      <c r="L19" s="246"/>
      <c r="M19" s="498"/>
      <c r="N19" s="499"/>
      <c r="O19" s="315" t="str">
        <f>sheet1!O19</f>
        <v>20M</v>
      </c>
      <c r="P19" s="245"/>
      <c r="Q19" s="246"/>
      <c r="R19" s="6"/>
      <c r="S19" s="308" t="s">
        <v>109</v>
      </c>
      <c r="T19" s="309"/>
      <c r="U19" s="309"/>
      <c r="V19" s="309"/>
      <c r="W19" s="310"/>
    </row>
    <row r="20" spans="1:25" s="4" customFormat="1" ht="17.25" customHeight="1">
      <c r="A20" s="194" t="s">
        <v>24</v>
      </c>
      <c r="B20" s="500"/>
      <c r="C20" s="501"/>
      <c r="D20" s="482" t="s">
        <v>123</v>
      </c>
      <c r="E20" s="483"/>
      <c r="F20" s="486"/>
      <c r="G20" s="625" t="str">
        <f>sheet1!G20</f>
        <v>1.25%</v>
      </c>
      <c r="H20" s="625"/>
      <c r="I20" s="625"/>
      <c r="J20" s="626" t="str">
        <f>sheet1!J20</f>
        <v>0.80%</v>
      </c>
      <c r="K20" s="625"/>
      <c r="L20" s="627"/>
      <c r="M20" s="72"/>
      <c r="N20" s="73"/>
      <c r="O20" s="628" t="str">
        <f>sheet1!O20</f>
        <v>0.70%</v>
      </c>
      <c r="P20" s="629"/>
      <c r="Q20" s="630"/>
      <c r="R20" s="49"/>
      <c r="S20" s="183" t="s">
        <v>1</v>
      </c>
      <c r="T20" s="274"/>
      <c r="U20" s="314" t="s">
        <v>26</v>
      </c>
      <c r="V20" s="184"/>
      <c r="W20" s="185"/>
    </row>
    <row r="21" spans="1:25" s="4" customFormat="1" ht="17.25" customHeight="1">
      <c r="A21" s="194" t="s">
        <v>27</v>
      </c>
      <c r="B21" s="195"/>
      <c r="C21" s="196"/>
      <c r="D21" s="482" t="s">
        <v>28</v>
      </c>
      <c r="E21" s="483"/>
      <c r="F21" s="483"/>
      <c r="G21" s="484" t="str">
        <f>sheet1!G21</f>
        <v>CUT</v>
      </c>
      <c r="H21" s="485"/>
      <c r="I21" s="485"/>
      <c r="J21" s="485"/>
      <c r="K21" s="485"/>
      <c r="L21" s="485"/>
      <c r="M21" s="279" t="str">
        <f>sheet1!M21</f>
        <v>CUT</v>
      </c>
      <c r="N21" s="280"/>
      <c r="O21" s="280"/>
      <c r="P21" s="280"/>
      <c r="Q21" s="281"/>
      <c r="R21" s="50"/>
      <c r="S21" s="183" t="s">
        <v>29</v>
      </c>
      <c r="T21" s="274"/>
      <c r="U21" s="183"/>
      <c r="V21" s="184"/>
      <c r="W21" s="185"/>
    </row>
    <row r="22" spans="1:25" s="4" customFormat="1" ht="17.25" customHeight="1" thickBot="1">
      <c r="A22" s="194" t="s">
        <v>30</v>
      </c>
      <c r="B22" s="195"/>
      <c r="C22" s="196"/>
      <c r="D22" s="482" t="s">
        <v>31</v>
      </c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6"/>
      <c r="R22" s="12"/>
      <c r="S22" s="13"/>
      <c r="T22" s="193" t="str">
        <f>sheet1!T22</f>
        <v>180℃±5℃</v>
      </c>
      <c r="U22" s="193"/>
      <c r="V22" s="193"/>
      <c r="W22" s="14"/>
    </row>
    <row r="23" spans="1:25" s="4" customFormat="1" ht="17.25" customHeight="1" thickBot="1">
      <c r="A23" s="194" t="s">
        <v>32</v>
      </c>
      <c r="B23" s="195"/>
      <c r="C23" s="196"/>
      <c r="D23" s="319" t="s">
        <v>33</v>
      </c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1"/>
      <c r="R23" s="49"/>
      <c r="S23" s="186"/>
      <c r="T23" s="15"/>
      <c r="U23" s="16"/>
      <c r="V23" s="17"/>
      <c r="W23" s="318"/>
    </row>
    <row r="24" spans="1:25" s="4" customFormat="1" ht="17.25" customHeight="1">
      <c r="A24" s="37" t="s">
        <v>34</v>
      </c>
      <c r="B24" s="7"/>
      <c r="C24" s="38"/>
      <c r="D24" s="193"/>
      <c r="E24" s="193"/>
      <c r="F24" s="193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186"/>
      <c r="T24" s="275" t="str">
        <f>sheet1!T24</f>
        <v>2Hr00M</v>
      </c>
      <c r="U24" s="276"/>
      <c r="V24" s="277"/>
      <c r="W24" s="318"/>
    </row>
    <row r="25" spans="1:25" s="4" customFormat="1" ht="16.5" customHeight="1">
      <c r="A25" s="187" t="s">
        <v>63</v>
      </c>
      <c r="B25" s="188"/>
      <c r="C25" s="40" t="s">
        <v>36</v>
      </c>
      <c r="D25" s="222" t="s">
        <v>72</v>
      </c>
      <c r="E25" s="223"/>
      <c r="F25" s="223"/>
      <c r="G25" s="322" t="s">
        <v>35</v>
      </c>
      <c r="H25" s="188"/>
      <c r="I25" s="222" t="s">
        <v>72</v>
      </c>
      <c r="J25" s="223"/>
      <c r="K25" s="233"/>
      <c r="L25" s="215" t="s">
        <v>37</v>
      </c>
      <c r="M25" s="41" t="s">
        <v>38</v>
      </c>
      <c r="N25" s="218" t="s">
        <v>70</v>
      </c>
      <c r="O25" s="220" t="s">
        <v>97</v>
      </c>
      <c r="P25" s="221"/>
      <c r="Q25" s="218" t="s">
        <v>88</v>
      </c>
      <c r="R25" s="621" t="s">
        <v>46</v>
      </c>
      <c r="S25" s="622"/>
      <c r="T25" s="55" t="s">
        <v>97</v>
      </c>
      <c r="U25" s="623" t="s">
        <v>73</v>
      </c>
      <c r="V25" s="624"/>
      <c r="W25" s="46" t="s">
        <v>7</v>
      </c>
    </row>
    <row r="26" spans="1:25" s="19" customFormat="1" ht="16.5" customHeight="1">
      <c r="A26" s="189"/>
      <c r="B26" s="190"/>
      <c r="C26" s="18" t="s">
        <v>124</v>
      </c>
      <c r="D26" s="325" t="s">
        <v>132</v>
      </c>
      <c r="E26" s="326"/>
      <c r="F26" s="326"/>
      <c r="G26" s="323"/>
      <c r="H26" s="190"/>
      <c r="I26" s="325" t="s">
        <v>132</v>
      </c>
      <c r="J26" s="326"/>
      <c r="K26" s="326"/>
      <c r="L26" s="216"/>
      <c r="M26" s="42" t="s">
        <v>39</v>
      </c>
      <c r="N26" s="219"/>
      <c r="O26" s="442" t="s">
        <v>89</v>
      </c>
      <c r="P26" s="443"/>
      <c r="Q26" s="219"/>
      <c r="R26" s="211" t="s">
        <v>93</v>
      </c>
      <c r="S26" s="206"/>
      <c r="T26" s="206"/>
      <c r="U26" s="331" t="s">
        <v>48</v>
      </c>
      <c r="V26" s="332"/>
      <c r="W26" s="333"/>
    </row>
    <row r="27" spans="1:25" s="19" customFormat="1" ht="16.5" customHeight="1">
      <c r="A27" s="191"/>
      <c r="B27" s="192"/>
      <c r="C27" s="43" t="s">
        <v>125</v>
      </c>
      <c r="D27" s="327" t="s">
        <v>131</v>
      </c>
      <c r="E27" s="328"/>
      <c r="F27" s="328"/>
      <c r="G27" s="324"/>
      <c r="H27" s="192"/>
      <c r="I27" s="327" t="s">
        <v>131</v>
      </c>
      <c r="J27" s="328"/>
      <c r="K27" s="328"/>
      <c r="L27" s="217"/>
      <c r="M27" s="44" t="s">
        <v>40</v>
      </c>
      <c r="N27" s="316" t="s">
        <v>90</v>
      </c>
      <c r="O27" s="205"/>
      <c r="P27" s="444"/>
      <c r="Q27" s="316" t="s">
        <v>57</v>
      </c>
      <c r="R27" s="580" t="s">
        <v>94</v>
      </c>
      <c r="S27" s="530"/>
      <c r="T27" s="530"/>
      <c r="U27" s="580" t="s">
        <v>74</v>
      </c>
      <c r="V27" s="530"/>
      <c r="W27" s="584"/>
    </row>
    <row r="28" spans="1:25" s="19" customFormat="1" ht="16.5" customHeight="1">
      <c r="A28" s="478" t="s">
        <v>203</v>
      </c>
      <c r="B28" s="639"/>
      <c r="C28" s="642" t="s">
        <v>41</v>
      </c>
      <c r="D28" s="642"/>
      <c r="E28" s="644" t="s">
        <v>75</v>
      </c>
      <c r="F28" s="493"/>
      <c r="G28" s="493"/>
      <c r="H28" s="493"/>
      <c r="I28" s="645"/>
      <c r="J28" s="493" t="s">
        <v>76</v>
      </c>
      <c r="K28" s="493"/>
      <c r="L28" s="493"/>
      <c r="M28" s="493"/>
      <c r="N28" s="316"/>
      <c r="O28" s="329" t="s">
        <v>91</v>
      </c>
      <c r="P28" s="330"/>
      <c r="Q28" s="316"/>
      <c r="R28" s="580" t="s">
        <v>77</v>
      </c>
      <c r="S28" s="530"/>
      <c r="T28" s="530"/>
      <c r="U28" s="581" t="s">
        <v>77</v>
      </c>
      <c r="V28" s="582"/>
      <c r="W28" s="583"/>
    </row>
    <row r="29" spans="1:25" s="19" customFormat="1" ht="17.100000000000001" customHeight="1">
      <c r="A29" s="478"/>
      <c r="B29" s="639"/>
      <c r="C29" s="642"/>
      <c r="D29" s="642"/>
      <c r="E29" s="646" t="s">
        <v>56</v>
      </c>
      <c r="F29" s="647"/>
      <c r="G29" s="647"/>
      <c r="H29" s="647"/>
      <c r="I29" s="648"/>
      <c r="J29" s="26"/>
      <c r="K29" s="26"/>
      <c r="L29" s="26"/>
      <c r="M29" s="26"/>
      <c r="N29" s="316"/>
      <c r="O29" s="329"/>
      <c r="P29" s="330"/>
      <c r="Q29" s="316"/>
      <c r="R29" s="529" t="s">
        <v>95</v>
      </c>
      <c r="S29" s="530"/>
      <c r="T29" s="531"/>
      <c r="U29" s="580" t="s">
        <v>78</v>
      </c>
      <c r="V29" s="530"/>
      <c r="W29" s="584"/>
    </row>
    <row r="30" spans="1:25" s="19" customFormat="1" ht="17.100000000000001" customHeight="1">
      <c r="A30" s="640"/>
      <c r="B30" s="641"/>
      <c r="C30" s="643"/>
      <c r="D30" s="643"/>
      <c r="E30" s="650" t="s">
        <v>197</v>
      </c>
      <c r="F30" s="651"/>
      <c r="G30" s="651"/>
      <c r="H30" s="651"/>
      <c r="I30" s="652"/>
      <c r="J30" s="27"/>
      <c r="K30" s="27"/>
      <c r="L30" s="27"/>
      <c r="M30" s="27"/>
      <c r="N30" s="316"/>
      <c r="O30" s="329"/>
      <c r="P30" s="330"/>
      <c r="Q30" s="316"/>
      <c r="R30" s="580" t="s">
        <v>58</v>
      </c>
      <c r="S30" s="530"/>
      <c r="T30" s="530"/>
      <c r="U30" s="581" t="s">
        <v>58</v>
      </c>
      <c r="V30" s="582"/>
      <c r="W30" s="583"/>
    </row>
    <row r="31" spans="1:25" s="19" customFormat="1" ht="17.100000000000001" customHeight="1">
      <c r="A31" s="649" t="s">
        <v>42</v>
      </c>
      <c r="B31" s="636"/>
      <c r="C31" s="636"/>
      <c r="D31" s="635" t="s">
        <v>43</v>
      </c>
      <c r="E31" s="636"/>
      <c r="F31" s="636"/>
      <c r="G31" s="636"/>
      <c r="H31" s="637">
        <f>sheet1!H31</f>
        <v>0</v>
      </c>
      <c r="I31" s="638"/>
      <c r="J31" s="638"/>
      <c r="K31" s="638"/>
      <c r="L31" s="638"/>
      <c r="M31" s="638"/>
      <c r="N31" s="317"/>
      <c r="O31" s="329"/>
      <c r="P31" s="330"/>
      <c r="Q31" s="317"/>
      <c r="R31" s="585" t="s">
        <v>96</v>
      </c>
      <c r="S31" s="533"/>
      <c r="T31" s="533"/>
      <c r="U31" s="585" t="s">
        <v>59</v>
      </c>
      <c r="V31" s="533"/>
      <c r="W31" s="586"/>
    </row>
    <row r="32" spans="1:25" s="19" customFormat="1" ht="17.100000000000001" customHeight="1">
      <c r="A32" s="631" t="s">
        <v>145</v>
      </c>
      <c r="B32" s="632"/>
      <c r="C32" s="632"/>
      <c r="D32" s="632"/>
      <c r="E32" s="591" t="s">
        <v>146</v>
      </c>
      <c r="F32" s="592"/>
      <c r="G32" s="592" t="s">
        <v>141</v>
      </c>
      <c r="H32" s="592"/>
      <c r="I32" s="592" t="s">
        <v>79</v>
      </c>
      <c r="J32" s="592"/>
      <c r="K32" s="593" t="s">
        <v>8</v>
      </c>
      <c r="L32" s="593"/>
      <c r="M32" s="594"/>
      <c r="N32" s="538" t="s">
        <v>80</v>
      </c>
      <c r="O32" s="539"/>
      <c r="P32" s="539"/>
      <c r="Q32" s="539"/>
      <c r="R32" s="539"/>
      <c r="S32" s="197" t="s">
        <v>7</v>
      </c>
      <c r="T32" s="199" t="s">
        <v>81</v>
      </c>
      <c r="U32" s="200"/>
      <c r="V32" s="199" t="s">
        <v>82</v>
      </c>
      <c r="W32" s="537"/>
      <c r="Y32" s="28"/>
    </row>
    <row r="33" spans="1:23" s="19" customFormat="1" ht="17.100000000000001" customHeight="1">
      <c r="A33" s="633"/>
      <c r="B33" s="634"/>
      <c r="C33" s="634"/>
      <c r="D33" s="634"/>
      <c r="E33" s="601"/>
      <c r="F33" s="602"/>
      <c r="G33" s="602"/>
      <c r="H33" s="602"/>
      <c r="I33" s="602"/>
      <c r="J33" s="602"/>
      <c r="K33" s="603"/>
      <c r="L33" s="604"/>
      <c r="M33" s="605"/>
      <c r="N33" s="540"/>
      <c r="O33" s="541"/>
      <c r="P33" s="541"/>
      <c r="Q33" s="541"/>
      <c r="R33" s="541"/>
      <c r="S33" s="198"/>
      <c r="T33" s="201"/>
      <c r="U33" s="202"/>
      <c r="V33" s="201"/>
      <c r="W33" s="342"/>
    </row>
    <row r="34" spans="1:23" s="19" customFormat="1" ht="17.100000000000001" customHeight="1">
      <c r="A34" s="555" t="s">
        <v>47</v>
      </c>
      <c r="B34" s="556"/>
      <c r="C34" s="556"/>
      <c r="D34" s="556"/>
      <c r="E34" s="556"/>
      <c r="F34" s="556"/>
      <c r="G34" s="556"/>
      <c r="H34" s="556"/>
      <c r="I34" s="556"/>
      <c r="J34" s="556"/>
      <c r="K34" s="556"/>
      <c r="L34" s="556"/>
      <c r="M34" s="556"/>
      <c r="N34" s="535" t="s">
        <v>87</v>
      </c>
      <c r="O34" s="535"/>
      <c r="P34" s="535"/>
      <c r="Q34" s="535"/>
      <c r="R34" s="535"/>
      <c r="S34" s="535"/>
      <c r="T34" s="535"/>
      <c r="U34" s="535"/>
      <c r="V34" s="535"/>
      <c r="W34" s="536"/>
    </row>
    <row r="35" spans="1:23" s="19" customFormat="1" ht="16.5" customHeight="1">
      <c r="A35" s="557" t="s">
        <v>182</v>
      </c>
      <c r="B35" s="558"/>
      <c r="C35" s="558"/>
      <c r="D35" s="558"/>
      <c r="E35" s="558"/>
      <c r="F35" s="558"/>
      <c r="G35" s="558"/>
      <c r="H35" s="558"/>
      <c r="I35" s="558"/>
      <c r="J35" s="558"/>
      <c r="K35" s="558"/>
      <c r="L35" s="558"/>
      <c r="M35" s="559"/>
      <c r="N35" s="435">
        <f>sheet1!N35</f>
        <v>0</v>
      </c>
      <c r="O35" s="566"/>
      <c r="P35" s="566"/>
      <c r="Q35" s="566"/>
      <c r="R35" s="566"/>
      <c r="S35" s="566"/>
      <c r="T35" s="566"/>
      <c r="U35" s="566"/>
      <c r="V35" s="566"/>
      <c r="W35" s="567"/>
    </row>
    <row r="36" spans="1:23" s="19" customFormat="1" ht="17.100000000000001" customHeight="1">
      <c r="A36" s="560"/>
      <c r="B36" s="561"/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2"/>
      <c r="N36" s="568"/>
      <c r="O36" s="569"/>
      <c r="P36" s="569"/>
      <c r="Q36" s="569"/>
      <c r="R36" s="569"/>
      <c r="S36" s="569"/>
      <c r="T36" s="569"/>
      <c r="U36" s="569"/>
      <c r="V36" s="569"/>
      <c r="W36" s="570"/>
    </row>
    <row r="37" spans="1:23" s="19" customFormat="1" ht="17.100000000000001" customHeight="1">
      <c r="A37" s="560"/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2"/>
      <c r="N37" s="571" t="s">
        <v>138</v>
      </c>
      <c r="O37" s="572"/>
      <c r="P37" s="572"/>
      <c r="Q37" s="572"/>
      <c r="R37" s="572"/>
      <c r="S37" s="572"/>
      <c r="T37" s="572"/>
      <c r="U37" s="572"/>
      <c r="V37" s="572"/>
      <c r="W37" s="573"/>
    </row>
    <row r="38" spans="1:23" s="19" customFormat="1" ht="15" customHeight="1">
      <c r="A38" s="560"/>
      <c r="B38" s="561"/>
      <c r="C38" s="561"/>
      <c r="D38" s="561"/>
      <c r="E38" s="561"/>
      <c r="F38" s="561"/>
      <c r="G38" s="561"/>
      <c r="H38" s="561"/>
      <c r="I38" s="561"/>
      <c r="J38" s="561"/>
      <c r="K38" s="561"/>
      <c r="L38" s="561"/>
      <c r="M38" s="562"/>
      <c r="N38" s="574"/>
      <c r="O38" s="575"/>
      <c r="P38" s="575"/>
      <c r="Q38" s="575"/>
      <c r="R38" s="575"/>
      <c r="S38" s="575"/>
      <c r="T38" s="575"/>
      <c r="U38" s="575"/>
      <c r="V38" s="575"/>
      <c r="W38" s="576"/>
    </row>
    <row r="39" spans="1:23" s="19" customFormat="1" ht="15" customHeight="1">
      <c r="A39" s="560"/>
      <c r="B39" s="561"/>
      <c r="C39" s="561"/>
      <c r="D39" s="561"/>
      <c r="E39" s="561"/>
      <c r="F39" s="561"/>
      <c r="G39" s="561"/>
      <c r="H39" s="561"/>
      <c r="I39" s="561"/>
      <c r="J39" s="561"/>
      <c r="K39" s="561"/>
      <c r="L39" s="561"/>
      <c r="M39" s="562"/>
      <c r="N39" s="574"/>
      <c r="O39" s="575"/>
      <c r="P39" s="575"/>
      <c r="Q39" s="575"/>
      <c r="R39" s="575"/>
      <c r="S39" s="575"/>
      <c r="T39" s="575"/>
      <c r="U39" s="575"/>
      <c r="V39" s="575"/>
      <c r="W39" s="576"/>
    </row>
    <row r="40" spans="1:23" s="19" customFormat="1" ht="33.75" customHeight="1">
      <c r="A40" s="563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5"/>
      <c r="N40" s="577"/>
      <c r="O40" s="578"/>
      <c r="P40" s="578"/>
      <c r="Q40" s="578"/>
      <c r="R40" s="578"/>
      <c r="S40" s="578"/>
      <c r="T40" s="578"/>
      <c r="U40" s="578"/>
      <c r="V40" s="578"/>
      <c r="W40" s="579"/>
    </row>
    <row r="41" spans="1:23" s="19" customFormat="1" ht="18" customHeight="1">
      <c r="A41" s="434" t="s">
        <v>201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3" s="19" customFormat="1" ht="15" customHeight="1">
      <c r="A42" s="432" t="s">
        <v>83</v>
      </c>
      <c r="B42" s="433"/>
      <c r="C42" s="242" t="s">
        <v>84</v>
      </c>
      <c r="D42" s="193"/>
      <c r="E42" s="193"/>
      <c r="F42" s="193"/>
      <c r="G42" s="193"/>
      <c r="H42" s="242" t="s">
        <v>135</v>
      </c>
      <c r="I42" s="193"/>
      <c r="J42" s="193"/>
      <c r="K42" s="418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3" s="19" customFormat="1" ht="15.75" customHeight="1">
      <c r="A43" s="432"/>
      <c r="B43" s="433"/>
      <c r="C43" s="244"/>
      <c r="D43" s="245"/>
      <c r="E43" s="245"/>
      <c r="F43" s="245"/>
      <c r="G43" s="245"/>
      <c r="H43" s="244"/>
      <c r="I43" s="245"/>
      <c r="J43" s="245"/>
      <c r="K43" s="44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3" s="19" customFormat="1" ht="24.95" customHeight="1">
      <c r="A44" s="170" t="s">
        <v>43</v>
      </c>
      <c r="B44" s="171"/>
      <c r="C44" s="172" t="str">
        <f>sheet1!C44</f>
        <v>-</v>
      </c>
      <c r="D44" s="172"/>
      <c r="E44" s="172"/>
      <c r="F44" s="172"/>
      <c r="G44" s="172"/>
      <c r="H44" s="224" t="s">
        <v>136</v>
      </c>
      <c r="I44" s="225"/>
      <c r="J44" s="225"/>
      <c r="K44" s="226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3" s="19" customFormat="1" ht="24.95" customHeight="1">
      <c r="A45" s="179" t="s">
        <v>60</v>
      </c>
      <c r="B45" s="180"/>
      <c r="C45" s="181" t="str">
        <f>sheet1!C45</f>
        <v>_</v>
      </c>
      <c r="D45" s="181"/>
      <c r="E45" s="181"/>
      <c r="F45" s="181"/>
      <c r="G45" s="181"/>
      <c r="H45" s="227"/>
      <c r="I45" s="228"/>
      <c r="J45" s="228"/>
      <c r="K45" s="229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</row>
    <row r="46" spans="1:23" s="19" customFormat="1" ht="24.95" customHeight="1">
      <c r="A46" s="179" t="s">
        <v>61</v>
      </c>
      <c r="B46" s="180"/>
      <c r="C46" s="181" t="str">
        <f>sheet1!C46</f>
        <v>_</v>
      </c>
      <c r="D46" s="181"/>
      <c r="E46" s="181"/>
      <c r="F46" s="181"/>
      <c r="G46" s="181"/>
      <c r="H46" s="227"/>
      <c r="I46" s="228"/>
      <c r="J46" s="228"/>
      <c r="K46" s="229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3" s="19" customFormat="1" ht="24.95" customHeight="1" thickBot="1">
      <c r="A47" s="175" t="s">
        <v>62</v>
      </c>
      <c r="B47" s="176"/>
      <c r="C47" s="177" t="str">
        <f>sheet1!C47</f>
        <v>_</v>
      </c>
      <c r="D47" s="177"/>
      <c r="E47" s="177"/>
      <c r="F47" s="177"/>
      <c r="G47" s="177"/>
      <c r="H47" s="230"/>
      <c r="I47" s="231"/>
      <c r="J47" s="231"/>
      <c r="K47" s="232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3" s="19" customFormat="1" ht="12.95" customHeight="1">
      <c r="A48" s="431" t="s">
        <v>181</v>
      </c>
      <c r="B48" s="431"/>
      <c r="C48" s="431"/>
      <c r="D48" s="431"/>
      <c r="E48" s="431"/>
      <c r="F48" s="431"/>
      <c r="G48" s="20"/>
      <c r="H48" s="20"/>
      <c r="I48" s="20"/>
      <c r="J48" s="169" t="s">
        <v>50</v>
      </c>
      <c r="K48" s="169"/>
      <c r="L48" s="169"/>
      <c r="M48" s="169"/>
      <c r="N48" s="169"/>
      <c r="O48" s="169"/>
      <c r="P48" s="54"/>
      <c r="Q48" s="54"/>
      <c r="R48" s="54"/>
      <c r="S48" s="174" t="s">
        <v>51</v>
      </c>
      <c r="T48" s="174"/>
      <c r="U48" s="174"/>
      <c r="V48" s="174"/>
      <c r="W48" s="174"/>
    </row>
    <row r="49" spans="1:23" s="2" customFormat="1" ht="12.75" thickBo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>
      <c r="A50" s="258" t="s">
        <v>226</v>
      </c>
      <c r="B50" s="259"/>
      <c r="C50" s="259"/>
      <c r="D50" s="259"/>
      <c r="E50" s="259"/>
      <c r="F50" s="259"/>
      <c r="G50" s="259"/>
      <c r="H50" s="259"/>
      <c r="I50" s="259"/>
      <c r="J50" s="259"/>
      <c r="K50" s="259"/>
      <c r="L50" s="259"/>
      <c r="M50" s="259"/>
      <c r="N50" s="259"/>
      <c r="O50" s="259"/>
      <c r="P50" s="259"/>
      <c r="Q50" s="259"/>
      <c r="R50" s="259"/>
      <c r="S50" s="259"/>
      <c r="T50" s="259"/>
      <c r="U50" s="259"/>
      <c r="V50" s="259"/>
      <c r="W50" s="260"/>
    </row>
    <row r="51" spans="1:23" ht="14.25" thickBot="1">
      <c r="A51" s="261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3"/>
    </row>
    <row r="52" spans="1:23" ht="24.95" customHeight="1" thickBot="1">
      <c r="A52" s="264" t="s">
        <v>227</v>
      </c>
      <c r="B52" s="265"/>
      <c r="C52" s="266" t="s">
        <v>228</v>
      </c>
      <c r="D52" s="267"/>
      <c r="E52" s="267" t="s">
        <v>229</v>
      </c>
      <c r="F52" s="267"/>
      <c r="G52" s="267" t="s">
        <v>230</v>
      </c>
      <c r="H52" s="267"/>
      <c r="I52" s="267" t="s">
        <v>231</v>
      </c>
      <c r="J52" s="267"/>
      <c r="K52" s="267" t="s">
        <v>232</v>
      </c>
      <c r="L52" s="268"/>
      <c r="M52" s="269" t="s">
        <v>233</v>
      </c>
      <c r="N52" s="270"/>
      <c r="O52" s="270"/>
      <c r="P52" s="270"/>
      <c r="Q52" s="270"/>
      <c r="R52" s="270"/>
      <c r="S52" s="270"/>
      <c r="T52" s="270"/>
      <c r="U52" s="270"/>
      <c r="V52" s="270"/>
      <c r="W52" s="271"/>
    </row>
    <row r="53" spans="1:23" ht="24.95" customHeight="1">
      <c r="A53" s="552"/>
      <c r="B53" s="553"/>
      <c r="C53" s="554"/>
      <c r="D53" s="182"/>
      <c r="E53" s="182"/>
      <c r="F53" s="182"/>
      <c r="G53" s="182"/>
      <c r="H53" s="182"/>
      <c r="I53" s="182"/>
      <c r="J53" s="182"/>
      <c r="K53" s="182"/>
      <c r="L53" s="471"/>
      <c r="M53" s="472"/>
      <c r="N53" s="473"/>
      <c r="O53" s="473"/>
      <c r="P53" s="473"/>
      <c r="Q53" s="473"/>
      <c r="R53" s="473"/>
      <c r="S53" s="473"/>
      <c r="T53" s="473"/>
      <c r="U53" s="473"/>
      <c r="V53" s="473"/>
      <c r="W53" s="474"/>
    </row>
    <row r="54" spans="1:23" ht="24.95" customHeight="1">
      <c r="A54" s="153"/>
      <c r="B54" s="154"/>
      <c r="C54" s="155"/>
      <c r="D54" s="156"/>
      <c r="E54" s="156"/>
      <c r="F54" s="156"/>
      <c r="G54" s="156"/>
      <c r="H54" s="156"/>
      <c r="I54" s="156"/>
      <c r="J54" s="156"/>
      <c r="K54" s="156"/>
      <c r="L54" s="157"/>
      <c r="M54" s="158"/>
      <c r="N54" s="159"/>
      <c r="O54" s="159"/>
      <c r="P54" s="159"/>
      <c r="Q54" s="159"/>
      <c r="R54" s="159"/>
      <c r="S54" s="159"/>
      <c r="T54" s="159"/>
      <c r="U54" s="159"/>
      <c r="V54" s="159"/>
      <c r="W54" s="160"/>
    </row>
    <row r="55" spans="1:23" ht="24.95" customHeight="1">
      <c r="A55" s="153"/>
      <c r="B55" s="154"/>
      <c r="C55" s="155"/>
      <c r="D55" s="156"/>
      <c r="E55" s="156"/>
      <c r="F55" s="156"/>
      <c r="G55" s="156"/>
      <c r="H55" s="156"/>
      <c r="I55" s="156"/>
      <c r="J55" s="156"/>
      <c r="K55" s="156"/>
      <c r="L55" s="157"/>
      <c r="M55" s="158"/>
      <c r="N55" s="159"/>
      <c r="O55" s="159"/>
      <c r="P55" s="159"/>
      <c r="Q55" s="159"/>
      <c r="R55" s="159"/>
      <c r="S55" s="159"/>
      <c r="T55" s="159"/>
      <c r="U55" s="159"/>
      <c r="V55" s="159"/>
      <c r="W55" s="160"/>
    </row>
    <row r="56" spans="1:23" ht="24.95" customHeight="1">
      <c r="A56" s="153"/>
      <c r="B56" s="154"/>
      <c r="C56" s="155"/>
      <c r="D56" s="156"/>
      <c r="E56" s="156"/>
      <c r="F56" s="156"/>
      <c r="G56" s="156"/>
      <c r="H56" s="156"/>
      <c r="I56" s="156"/>
      <c r="J56" s="156"/>
      <c r="K56" s="156"/>
      <c r="L56" s="157"/>
      <c r="M56" s="158"/>
      <c r="N56" s="159"/>
      <c r="O56" s="159"/>
      <c r="P56" s="159"/>
      <c r="Q56" s="159"/>
      <c r="R56" s="159"/>
      <c r="S56" s="159"/>
      <c r="T56" s="159"/>
      <c r="U56" s="159"/>
      <c r="V56" s="159"/>
      <c r="W56" s="160"/>
    </row>
    <row r="57" spans="1:23" ht="24.95" customHeight="1">
      <c r="A57" s="153"/>
      <c r="B57" s="154"/>
      <c r="C57" s="155"/>
      <c r="D57" s="156"/>
      <c r="E57" s="156"/>
      <c r="F57" s="156"/>
      <c r="G57" s="156"/>
      <c r="H57" s="156"/>
      <c r="I57" s="156"/>
      <c r="J57" s="156"/>
      <c r="K57" s="156"/>
      <c r="L57" s="157"/>
      <c r="M57" s="158"/>
      <c r="N57" s="159"/>
      <c r="O57" s="159"/>
      <c r="P57" s="159"/>
      <c r="Q57" s="159"/>
      <c r="R57" s="159"/>
      <c r="S57" s="159"/>
      <c r="T57" s="159"/>
      <c r="U57" s="159"/>
      <c r="V57" s="159"/>
      <c r="W57" s="160"/>
    </row>
    <row r="58" spans="1:23" ht="24.95" customHeight="1">
      <c r="A58" s="153"/>
      <c r="B58" s="154"/>
      <c r="C58" s="155"/>
      <c r="D58" s="156"/>
      <c r="E58" s="156"/>
      <c r="F58" s="156"/>
      <c r="G58" s="156"/>
      <c r="H58" s="156"/>
      <c r="I58" s="156"/>
      <c r="J58" s="156"/>
      <c r="K58" s="156"/>
      <c r="L58" s="157"/>
      <c r="M58" s="158"/>
      <c r="N58" s="159"/>
      <c r="O58" s="159"/>
      <c r="P58" s="159"/>
      <c r="Q58" s="159"/>
      <c r="R58" s="159"/>
      <c r="S58" s="159"/>
      <c r="T58" s="159"/>
      <c r="U58" s="159"/>
      <c r="V58" s="159"/>
      <c r="W58" s="160"/>
    </row>
    <row r="59" spans="1:23" ht="24.95" customHeight="1">
      <c r="A59" s="153"/>
      <c r="B59" s="154"/>
      <c r="C59" s="155"/>
      <c r="D59" s="156"/>
      <c r="E59" s="156"/>
      <c r="F59" s="156"/>
      <c r="G59" s="156"/>
      <c r="H59" s="156"/>
      <c r="I59" s="156"/>
      <c r="J59" s="156"/>
      <c r="K59" s="156"/>
      <c r="L59" s="157"/>
      <c r="M59" s="158"/>
      <c r="N59" s="159"/>
      <c r="O59" s="159"/>
      <c r="P59" s="159"/>
      <c r="Q59" s="159"/>
      <c r="R59" s="159"/>
      <c r="S59" s="159"/>
      <c r="T59" s="159"/>
      <c r="U59" s="159"/>
      <c r="V59" s="159"/>
      <c r="W59" s="160"/>
    </row>
    <row r="60" spans="1:23" ht="24.95" customHeight="1">
      <c r="A60" s="153"/>
      <c r="B60" s="154"/>
      <c r="C60" s="155"/>
      <c r="D60" s="156"/>
      <c r="E60" s="156"/>
      <c r="F60" s="156"/>
      <c r="G60" s="156"/>
      <c r="H60" s="156"/>
      <c r="I60" s="156"/>
      <c r="J60" s="156"/>
      <c r="K60" s="156"/>
      <c r="L60" s="157"/>
      <c r="M60" s="158"/>
      <c r="N60" s="159"/>
      <c r="O60" s="159"/>
      <c r="P60" s="159"/>
      <c r="Q60" s="159"/>
      <c r="R60" s="159"/>
      <c r="S60" s="159"/>
      <c r="T60" s="159"/>
      <c r="U60" s="159"/>
      <c r="V60" s="159"/>
      <c r="W60" s="160"/>
    </row>
    <row r="61" spans="1:23" ht="24.95" customHeight="1">
      <c r="A61" s="153"/>
      <c r="B61" s="154"/>
      <c r="C61" s="155"/>
      <c r="D61" s="156"/>
      <c r="E61" s="156"/>
      <c r="F61" s="156"/>
      <c r="G61" s="156"/>
      <c r="H61" s="156"/>
      <c r="I61" s="156"/>
      <c r="J61" s="156"/>
      <c r="K61" s="156"/>
      <c r="L61" s="157"/>
      <c r="M61" s="158"/>
      <c r="N61" s="159"/>
      <c r="O61" s="159"/>
      <c r="P61" s="159"/>
      <c r="Q61" s="159"/>
      <c r="R61" s="159"/>
      <c r="S61" s="159"/>
      <c r="T61" s="159"/>
      <c r="U61" s="159"/>
      <c r="V61" s="159"/>
      <c r="W61" s="160"/>
    </row>
    <row r="62" spans="1:23" ht="24.95" customHeight="1">
      <c r="A62" s="153"/>
      <c r="B62" s="154"/>
      <c r="C62" s="155"/>
      <c r="D62" s="156"/>
      <c r="E62" s="156"/>
      <c r="F62" s="156"/>
      <c r="G62" s="156"/>
      <c r="H62" s="156"/>
      <c r="I62" s="156"/>
      <c r="J62" s="156"/>
      <c r="K62" s="156"/>
      <c r="L62" s="157"/>
      <c r="M62" s="158"/>
      <c r="N62" s="159"/>
      <c r="O62" s="159"/>
      <c r="P62" s="159"/>
      <c r="Q62" s="159"/>
      <c r="R62" s="159"/>
      <c r="S62" s="159"/>
      <c r="T62" s="159"/>
      <c r="U62" s="159"/>
      <c r="V62" s="159"/>
      <c r="W62" s="160"/>
    </row>
    <row r="63" spans="1:23" ht="24.95" customHeight="1">
      <c r="A63" s="153"/>
      <c r="B63" s="154"/>
      <c r="C63" s="155"/>
      <c r="D63" s="156"/>
      <c r="E63" s="156"/>
      <c r="F63" s="156"/>
      <c r="G63" s="156"/>
      <c r="H63" s="156"/>
      <c r="I63" s="156"/>
      <c r="J63" s="156"/>
      <c r="K63" s="156"/>
      <c r="L63" s="157"/>
      <c r="M63" s="158"/>
      <c r="N63" s="159"/>
      <c r="O63" s="159"/>
      <c r="P63" s="159"/>
      <c r="Q63" s="159"/>
      <c r="R63" s="159"/>
      <c r="S63" s="159"/>
      <c r="T63" s="159"/>
      <c r="U63" s="159"/>
      <c r="V63" s="159"/>
      <c r="W63" s="160"/>
    </row>
    <row r="64" spans="1:23" ht="24.95" customHeight="1">
      <c r="A64" s="153"/>
      <c r="B64" s="154"/>
      <c r="C64" s="155"/>
      <c r="D64" s="156"/>
      <c r="E64" s="156"/>
      <c r="F64" s="156"/>
      <c r="G64" s="156"/>
      <c r="H64" s="156"/>
      <c r="I64" s="156"/>
      <c r="J64" s="156"/>
      <c r="K64" s="156"/>
      <c r="L64" s="157"/>
      <c r="M64" s="158"/>
      <c r="N64" s="159"/>
      <c r="O64" s="159"/>
      <c r="P64" s="159"/>
      <c r="Q64" s="159"/>
      <c r="R64" s="159"/>
      <c r="S64" s="159"/>
      <c r="T64" s="159"/>
      <c r="U64" s="159"/>
      <c r="V64" s="159"/>
      <c r="W64" s="160"/>
    </row>
    <row r="65" spans="1:23" ht="24.95" customHeight="1">
      <c r="A65" s="153"/>
      <c r="B65" s="154"/>
      <c r="C65" s="155"/>
      <c r="D65" s="156"/>
      <c r="E65" s="156"/>
      <c r="F65" s="156"/>
      <c r="G65" s="156"/>
      <c r="H65" s="156"/>
      <c r="I65" s="156"/>
      <c r="J65" s="156"/>
      <c r="K65" s="156"/>
      <c r="L65" s="157"/>
      <c r="M65" s="158"/>
      <c r="N65" s="159"/>
      <c r="O65" s="159"/>
      <c r="P65" s="159"/>
      <c r="Q65" s="159"/>
      <c r="R65" s="159"/>
      <c r="S65" s="159"/>
      <c r="T65" s="159"/>
      <c r="U65" s="159"/>
      <c r="V65" s="159"/>
      <c r="W65" s="160"/>
    </row>
    <row r="66" spans="1:23" ht="24.95" customHeight="1">
      <c r="A66" s="153"/>
      <c r="B66" s="154"/>
      <c r="C66" s="155"/>
      <c r="D66" s="156"/>
      <c r="E66" s="156"/>
      <c r="F66" s="156"/>
      <c r="G66" s="156"/>
      <c r="H66" s="156"/>
      <c r="I66" s="156"/>
      <c r="J66" s="156"/>
      <c r="K66" s="156"/>
      <c r="L66" s="157"/>
      <c r="M66" s="158"/>
      <c r="N66" s="159"/>
      <c r="O66" s="159"/>
      <c r="P66" s="159"/>
      <c r="Q66" s="159"/>
      <c r="R66" s="159"/>
      <c r="S66" s="159"/>
      <c r="T66" s="159"/>
      <c r="U66" s="159"/>
      <c r="V66" s="159"/>
      <c r="W66" s="160"/>
    </row>
    <row r="67" spans="1:23" ht="24.95" customHeight="1">
      <c r="A67" s="153"/>
      <c r="B67" s="154"/>
      <c r="C67" s="155"/>
      <c r="D67" s="156"/>
      <c r="E67" s="156"/>
      <c r="F67" s="156"/>
      <c r="G67" s="156"/>
      <c r="H67" s="156"/>
      <c r="I67" s="156"/>
      <c r="J67" s="156"/>
      <c r="K67" s="156"/>
      <c r="L67" s="157"/>
      <c r="M67" s="158"/>
      <c r="N67" s="159"/>
      <c r="O67" s="159"/>
      <c r="P67" s="159"/>
      <c r="Q67" s="159"/>
      <c r="R67" s="159"/>
      <c r="S67" s="159"/>
      <c r="T67" s="159"/>
      <c r="U67" s="159"/>
      <c r="V67" s="159"/>
      <c r="W67" s="160"/>
    </row>
    <row r="68" spans="1:23" ht="24.95" customHeight="1">
      <c r="A68" s="110"/>
      <c r="B68" s="113"/>
      <c r="C68" s="155"/>
      <c r="D68" s="156"/>
      <c r="E68" s="156"/>
      <c r="F68" s="156"/>
      <c r="G68" s="156"/>
      <c r="H68" s="156"/>
      <c r="I68" s="156"/>
      <c r="J68" s="156"/>
      <c r="K68" s="156"/>
      <c r="L68" s="157"/>
      <c r="M68" s="114"/>
      <c r="N68" s="111"/>
      <c r="O68" s="111"/>
      <c r="P68" s="111"/>
      <c r="Q68" s="111"/>
      <c r="R68" s="111"/>
      <c r="S68" s="111"/>
      <c r="T68" s="111"/>
      <c r="U68" s="111"/>
      <c r="V68" s="111"/>
      <c r="W68" s="112"/>
    </row>
    <row r="69" spans="1:23" ht="24.95" customHeight="1">
      <c r="A69" s="153"/>
      <c r="B69" s="154"/>
      <c r="C69" s="155"/>
      <c r="D69" s="156"/>
      <c r="E69" s="156"/>
      <c r="F69" s="156"/>
      <c r="G69" s="156"/>
      <c r="H69" s="156"/>
      <c r="I69" s="156"/>
      <c r="J69" s="156"/>
      <c r="K69" s="156"/>
      <c r="L69" s="157"/>
      <c r="M69" s="158"/>
      <c r="N69" s="159"/>
      <c r="O69" s="159"/>
      <c r="P69" s="159"/>
      <c r="Q69" s="159"/>
      <c r="R69" s="159"/>
      <c r="S69" s="159"/>
      <c r="T69" s="159"/>
      <c r="U69" s="159"/>
      <c r="V69" s="159"/>
      <c r="W69" s="160"/>
    </row>
    <row r="70" spans="1:23" ht="24.95" customHeight="1" thickBot="1">
      <c r="A70" s="161"/>
      <c r="B70" s="162"/>
      <c r="C70" s="163"/>
      <c r="D70" s="164"/>
      <c r="E70" s="164"/>
      <c r="F70" s="164"/>
      <c r="G70" s="164"/>
      <c r="H70" s="164"/>
      <c r="I70" s="164"/>
      <c r="J70" s="164"/>
      <c r="K70" s="164"/>
      <c r="L70" s="165"/>
      <c r="M70" s="166"/>
      <c r="N70" s="167"/>
      <c r="O70" s="167"/>
      <c r="P70" s="167"/>
      <c r="Q70" s="167"/>
      <c r="R70" s="167"/>
      <c r="S70" s="167"/>
      <c r="T70" s="167"/>
      <c r="U70" s="167"/>
      <c r="V70" s="167"/>
      <c r="W70" s="168"/>
    </row>
    <row r="71" spans="1:23" ht="14.25" thickBot="1">
      <c r="A71" s="105"/>
      <c r="B71" s="106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6"/>
      <c r="S71" s="106"/>
      <c r="T71" s="106"/>
      <c r="U71" s="106"/>
      <c r="V71" s="108"/>
      <c r="W71" s="109"/>
    </row>
    <row r="72" spans="1:23" s="2" customFormat="1" ht="12" customHeight="1">
      <c r="A72" s="523" t="s">
        <v>147</v>
      </c>
      <c r="B72" s="524"/>
      <c r="C72" s="524"/>
      <c r="D72" s="524"/>
      <c r="E72" s="524"/>
      <c r="F72" s="524"/>
      <c r="G72" s="524"/>
      <c r="H72" s="524"/>
      <c r="I72" s="524"/>
      <c r="J72" s="524"/>
      <c r="K72" s="524"/>
      <c r="L72" s="524"/>
      <c r="M72" s="524"/>
      <c r="N72" s="524"/>
      <c r="O72" s="524"/>
      <c r="P72" s="524"/>
      <c r="Q72" s="524"/>
      <c r="R72" s="524"/>
      <c r="S72" s="524"/>
      <c r="T72" s="524"/>
      <c r="U72" s="524"/>
      <c r="V72" s="524"/>
      <c r="W72" s="525"/>
    </row>
    <row r="73" spans="1:23" s="2" customFormat="1" ht="33.75" customHeight="1">
      <c r="A73" s="526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8"/>
    </row>
    <row r="74" spans="1:23" s="2" customFormat="1" ht="13.5" customHeight="1">
      <c r="A74" s="512" t="s">
        <v>148</v>
      </c>
      <c r="B74" s="509"/>
      <c r="C74" s="509" t="s">
        <v>149</v>
      </c>
      <c r="D74" s="509"/>
      <c r="E74" s="509" t="s">
        <v>150</v>
      </c>
      <c r="F74" s="509"/>
      <c r="G74" s="509"/>
      <c r="H74" s="509"/>
      <c r="I74" s="509"/>
      <c r="J74" s="509"/>
      <c r="K74" s="509"/>
      <c r="L74" s="509"/>
      <c r="M74" s="509"/>
      <c r="N74" s="509"/>
      <c r="O74" s="509"/>
      <c r="P74" s="509"/>
      <c r="Q74" s="509"/>
      <c r="R74" s="509" t="s">
        <v>151</v>
      </c>
      <c r="S74" s="509"/>
      <c r="T74" s="509" t="s">
        <v>152</v>
      </c>
      <c r="U74" s="509"/>
      <c r="V74" s="509" t="s">
        <v>153</v>
      </c>
      <c r="W74" s="511"/>
    </row>
    <row r="75" spans="1:23" s="2" customFormat="1" ht="13.5" customHeight="1">
      <c r="A75" s="512"/>
      <c r="B75" s="509"/>
      <c r="C75" s="509"/>
      <c r="D75" s="509"/>
      <c r="E75" s="509"/>
      <c r="F75" s="509"/>
      <c r="G75" s="509"/>
      <c r="H75" s="509"/>
      <c r="I75" s="509"/>
      <c r="J75" s="509"/>
      <c r="K75" s="509"/>
      <c r="L75" s="509"/>
      <c r="M75" s="509"/>
      <c r="N75" s="509"/>
      <c r="O75" s="509"/>
      <c r="P75" s="509"/>
      <c r="Q75" s="509"/>
      <c r="R75" s="509"/>
      <c r="S75" s="509"/>
      <c r="T75" s="509"/>
      <c r="U75" s="509"/>
      <c r="V75" s="509"/>
      <c r="W75" s="511"/>
    </row>
    <row r="76" spans="1:23">
      <c r="A76" s="545" t="s">
        <v>154</v>
      </c>
      <c r="B76" s="546"/>
      <c r="C76" s="508" t="s">
        <v>155</v>
      </c>
      <c r="D76" s="508"/>
      <c r="E76" s="508" t="s">
        <v>156</v>
      </c>
      <c r="F76" s="508"/>
      <c r="G76" s="508"/>
      <c r="H76" s="508"/>
      <c r="I76" s="508"/>
      <c r="J76" s="508"/>
      <c r="K76" s="508"/>
      <c r="L76" s="508"/>
      <c r="M76" s="508"/>
      <c r="N76" s="508"/>
      <c r="O76" s="508"/>
      <c r="P76" s="508"/>
      <c r="Q76" s="508"/>
      <c r="R76" s="509" t="s">
        <v>157</v>
      </c>
      <c r="S76" s="509"/>
      <c r="T76" s="510"/>
      <c r="U76" s="510"/>
      <c r="V76" s="509" t="s">
        <v>158</v>
      </c>
      <c r="W76" s="511"/>
    </row>
    <row r="77" spans="1:23">
      <c r="A77" s="545"/>
      <c r="B77" s="546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9"/>
      <c r="S77" s="509"/>
      <c r="T77" s="510"/>
      <c r="U77" s="510"/>
      <c r="V77" s="509"/>
      <c r="W77" s="511"/>
    </row>
    <row r="78" spans="1:23" ht="13.5" customHeight="1">
      <c r="A78" s="512">
        <v>1</v>
      </c>
      <c r="B78" s="509"/>
      <c r="C78" s="508" t="s">
        <v>159</v>
      </c>
      <c r="D78" s="508"/>
      <c r="E78" s="544" t="s">
        <v>183</v>
      </c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09" t="s">
        <v>160</v>
      </c>
      <c r="S78" s="509"/>
      <c r="T78" s="510"/>
      <c r="U78" s="510"/>
      <c r="V78" s="509" t="s">
        <v>161</v>
      </c>
      <c r="W78" s="511"/>
    </row>
    <row r="79" spans="1:23" ht="13.5" customHeight="1">
      <c r="A79" s="512"/>
      <c r="B79" s="509"/>
      <c r="C79" s="508"/>
      <c r="D79" s="508"/>
      <c r="E79" s="544"/>
      <c r="F79" s="544"/>
      <c r="G79" s="544"/>
      <c r="H79" s="544"/>
      <c r="I79" s="544"/>
      <c r="J79" s="544"/>
      <c r="K79" s="544"/>
      <c r="L79" s="544"/>
      <c r="M79" s="544"/>
      <c r="N79" s="544"/>
      <c r="O79" s="544"/>
      <c r="P79" s="544"/>
      <c r="Q79" s="544"/>
      <c r="R79" s="509"/>
      <c r="S79" s="509"/>
      <c r="T79" s="510"/>
      <c r="U79" s="510"/>
      <c r="V79" s="509"/>
      <c r="W79" s="511"/>
    </row>
    <row r="80" spans="1:23">
      <c r="A80" s="512"/>
      <c r="B80" s="509"/>
      <c r="C80" s="508"/>
      <c r="D80" s="508"/>
      <c r="E80" s="544"/>
      <c r="F80" s="544"/>
      <c r="G80" s="544"/>
      <c r="H80" s="544"/>
      <c r="I80" s="544"/>
      <c r="J80" s="544"/>
      <c r="K80" s="544"/>
      <c r="L80" s="544"/>
      <c r="M80" s="544"/>
      <c r="N80" s="544"/>
      <c r="O80" s="544"/>
      <c r="P80" s="544"/>
      <c r="Q80" s="544"/>
      <c r="R80" s="509"/>
      <c r="S80" s="509"/>
      <c r="T80" s="510"/>
      <c r="U80" s="510"/>
      <c r="V80" s="509"/>
      <c r="W80" s="511"/>
    </row>
    <row r="81" spans="1:23">
      <c r="A81" s="512">
        <v>2</v>
      </c>
      <c r="B81" s="509"/>
      <c r="C81" s="508"/>
      <c r="D81" s="508"/>
      <c r="E81" s="542"/>
      <c r="F81" s="542"/>
      <c r="G81" s="542"/>
      <c r="H81" s="542"/>
      <c r="I81" s="542"/>
      <c r="J81" s="542"/>
      <c r="K81" s="542"/>
      <c r="L81" s="542"/>
      <c r="M81" s="542"/>
      <c r="N81" s="542"/>
      <c r="O81" s="542"/>
      <c r="P81" s="542"/>
      <c r="Q81" s="542"/>
      <c r="R81" s="509"/>
      <c r="S81" s="509"/>
      <c r="T81" s="509"/>
      <c r="U81" s="509"/>
      <c r="V81" s="542"/>
      <c r="W81" s="543"/>
    </row>
    <row r="82" spans="1:23">
      <c r="A82" s="512"/>
      <c r="B82" s="509"/>
      <c r="C82" s="508"/>
      <c r="D82" s="508"/>
      <c r="E82" s="542"/>
      <c r="F82" s="542"/>
      <c r="G82" s="542"/>
      <c r="H82" s="542"/>
      <c r="I82" s="542"/>
      <c r="J82" s="542"/>
      <c r="K82" s="542"/>
      <c r="L82" s="542"/>
      <c r="M82" s="542"/>
      <c r="N82" s="542"/>
      <c r="O82" s="542"/>
      <c r="P82" s="542"/>
      <c r="Q82" s="542"/>
      <c r="R82" s="509"/>
      <c r="S82" s="509"/>
      <c r="T82" s="509"/>
      <c r="U82" s="509"/>
      <c r="V82" s="542"/>
      <c r="W82" s="543"/>
    </row>
    <row r="83" spans="1:23">
      <c r="A83" s="512">
        <v>3</v>
      </c>
      <c r="B83" s="509"/>
      <c r="C83" s="508"/>
      <c r="D83" s="508"/>
      <c r="E83" s="542"/>
      <c r="F83" s="542"/>
      <c r="G83" s="542"/>
      <c r="H83" s="542"/>
      <c r="I83" s="542"/>
      <c r="J83" s="542"/>
      <c r="K83" s="542"/>
      <c r="L83" s="542"/>
      <c r="M83" s="542"/>
      <c r="N83" s="542"/>
      <c r="O83" s="542"/>
      <c r="P83" s="542"/>
      <c r="Q83" s="542"/>
      <c r="R83" s="509"/>
      <c r="S83" s="509"/>
      <c r="T83" s="509"/>
      <c r="U83" s="509"/>
      <c r="V83" s="542"/>
      <c r="W83" s="543"/>
    </row>
    <row r="84" spans="1:23">
      <c r="A84" s="512"/>
      <c r="B84" s="509"/>
      <c r="C84" s="508"/>
      <c r="D84" s="508"/>
      <c r="E84" s="542"/>
      <c r="F84" s="542"/>
      <c r="G84" s="542"/>
      <c r="H84" s="542"/>
      <c r="I84" s="542"/>
      <c r="J84" s="542"/>
      <c r="K84" s="542"/>
      <c r="L84" s="542"/>
      <c r="M84" s="542"/>
      <c r="N84" s="542"/>
      <c r="O84" s="542"/>
      <c r="P84" s="542"/>
      <c r="Q84" s="542"/>
      <c r="R84" s="509"/>
      <c r="S84" s="509"/>
      <c r="T84" s="509"/>
      <c r="U84" s="509"/>
      <c r="V84" s="542"/>
      <c r="W84" s="543"/>
    </row>
    <row r="85" spans="1:23">
      <c r="A85" s="512">
        <v>4</v>
      </c>
      <c r="B85" s="509"/>
      <c r="C85" s="508"/>
      <c r="D85" s="508"/>
      <c r="E85" s="542"/>
      <c r="F85" s="542"/>
      <c r="G85" s="542"/>
      <c r="H85" s="542"/>
      <c r="I85" s="542"/>
      <c r="J85" s="542"/>
      <c r="K85" s="542"/>
      <c r="L85" s="542"/>
      <c r="M85" s="542"/>
      <c r="N85" s="542"/>
      <c r="O85" s="542"/>
      <c r="P85" s="542"/>
      <c r="Q85" s="542"/>
      <c r="R85" s="509"/>
      <c r="S85" s="509"/>
      <c r="T85" s="509"/>
      <c r="U85" s="509"/>
      <c r="V85" s="542"/>
      <c r="W85" s="543"/>
    </row>
    <row r="86" spans="1:23">
      <c r="A86" s="512"/>
      <c r="B86" s="509"/>
      <c r="C86" s="508"/>
      <c r="D86" s="508"/>
      <c r="E86" s="542"/>
      <c r="F86" s="542"/>
      <c r="G86" s="542"/>
      <c r="H86" s="542"/>
      <c r="I86" s="542"/>
      <c r="J86" s="542"/>
      <c r="K86" s="542"/>
      <c r="L86" s="542"/>
      <c r="M86" s="542"/>
      <c r="N86" s="542"/>
      <c r="O86" s="542"/>
      <c r="P86" s="542"/>
      <c r="Q86" s="542"/>
      <c r="R86" s="509"/>
      <c r="S86" s="509"/>
      <c r="T86" s="509"/>
      <c r="U86" s="509"/>
      <c r="V86" s="542"/>
      <c r="W86" s="543"/>
    </row>
    <row r="87" spans="1:23">
      <c r="A87" s="512">
        <v>5</v>
      </c>
      <c r="B87" s="509"/>
      <c r="C87" s="508"/>
      <c r="D87" s="508"/>
      <c r="E87" s="542"/>
      <c r="F87" s="542"/>
      <c r="G87" s="542"/>
      <c r="H87" s="542"/>
      <c r="I87" s="542"/>
      <c r="J87" s="542"/>
      <c r="K87" s="542"/>
      <c r="L87" s="542"/>
      <c r="M87" s="542"/>
      <c r="N87" s="542"/>
      <c r="O87" s="542"/>
      <c r="P87" s="542"/>
      <c r="Q87" s="542"/>
      <c r="R87" s="509"/>
      <c r="S87" s="509"/>
      <c r="T87" s="509"/>
      <c r="U87" s="509"/>
      <c r="V87" s="542"/>
      <c r="W87" s="543"/>
    </row>
    <row r="88" spans="1:23" ht="14.25" thickBot="1">
      <c r="A88" s="547"/>
      <c r="B88" s="548"/>
      <c r="C88" s="549"/>
      <c r="D88" s="549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48"/>
      <c r="S88" s="548"/>
      <c r="T88" s="548"/>
      <c r="U88" s="548"/>
      <c r="V88" s="550"/>
      <c r="W88" s="551"/>
    </row>
  </sheetData>
  <mergeCells count="368">
    <mergeCell ref="A85:B86"/>
    <mergeCell ref="C85:D86"/>
    <mergeCell ref="E85:Q86"/>
    <mergeCell ref="R85:S86"/>
    <mergeCell ref="T85:U86"/>
    <mergeCell ref="V85:W86"/>
    <mergeCell ref="N10:Q11"/>
    <mergeCell ref="R10:W10"/>
    <mergeCell ref="R11:T11"/>
    <mergeCell ref="U11:W11"/>
    <mergeCell ref="A81:B82"/>
    <mergeCell ref="C81:D82"/>
    <mergeCell ref="E81:Q82"/>
    <mergeCell ref="R81:S82"/>
    <mergeCell ref="T81:U82"/>
    <mergeCell ref="V81:W82"/>
    <mergeCell ref="A83:B84"/>
    <mergeCell ref="C83:D84"/>
    <mergeCell ref="E83:Q84"/>
    <mergeCell ref="R83:S84"/>
    <mergeCell ref="T83:U84"/>
    <mergeCell ref="V83:W84"/>
    <mergeCell ref="A78:B80"/>
    <mergeCell ref="C78:D80"/>
    <mergeCell ref="E78:Q80"/>
    <mergeCell ref="R78:S80"/>
    <mergeCell ref="T78:U80"/>
    <mergeCell ref="V78:W80"/>
    <mergeCell ref="A9:E9"/>
    <mergeCell ref="F9:L9"/>
    <mergeCell ref="M9:R9"/>
    <mergeCell ref="A72:W73"/>
    <mergeCell ref="A74:B75"/>
    <mergeCell ref="C74:D75"/>
    <mergeCell ref="E74:Q75"/>
    <mergeCell ref="R74:S75"/>
    <mergeCell ref="T74:U75"/>
    <mergeCell ref="V74:W75"/>
    <mergeCell ref="A76:B77"/>
    <mergeCell ref="C76:D77"/>
    <mergeCell ref="E76:Q77"/>
    <mergeCell ref="R76:S77"/>
    <mergeCell ref="T76:U77"/>
    <mergeCell ref="V76:W77"/>
    <mergeCell ref="G66:H66"/>
    <mergeCell ref="I66:J66"/>
    <mergeCell ref="M69:W69"/>
    <mergeCell ref="A70:B70"/>
    <mergeCell ref="C70:D70"/>
    <mergeCell ref="E70:F70"/>
    <mergeCell ref="G70:H70"/>
    <mergeCell ref="I70:J70"/>
    <mergeCell ref="K70:L70"/>
    <mergeCell ref="M70:W70"/>
    <mergeCell ref="A62:B62"/>
    <mergeCell ref="C62:D62"/>
    <mergeCell ref="E62:F62"/>
    <mergeCell ref="G62:H62"/>
    <mergeCell ref="I62:J62"/>
    <mergeCell ref="K62:L62"/>
    <mergeCell ref="M62:W62"/>
    <mergeCell ref="A63:B63"/>
    <mergeCell ref="C63:D63"/>
    <mergeCell ref="E63:F63"/>
    <mergeCell ref="G63:H63"/>
    <mergeCell ref="I63:J63"/>
    <mergeCell ref="G65:H65"/>
    <mergeCell ref="I65:J65"/>
    <mergeCell ref="K65:L65"/>
    <mergeCell ref="M65:W65"/>
    <mergeCell ref="A66:B66"/>
    <mergeCell ref="C66:D66"/>
    <mergeCell ref="A50:W51"/>
    <mergeCell ref="A52:B52"/>
    <mergeCell ref="C52:D52"/>
    <mergeCell ref="E52:F52"/>
    <mergeCell ref="G52:H52"/>
    <mergeCell ref="I52:J52"/>
    <mergeCell ref="K52:L52"/>
    <mergeCell ref="M52:W52"/>
    <mergeCell ref="A53:B53"/>
    <mergeCell ref="C53:D53"/>
    <mergeCell ref="E53:F53"/>
    <mergeCell ref="G53:H53"/>
    <mergeCell ref="I53:J53"/>
    <mergeCell ref="K53:L53"/>
    <mergeCell ref="M53:W53"/>
    <mergeCell ref="N1:O2"/>
    <mergeCell ref="P1:W2"/>
    <mergeCell ref="A3:C3"/>
    <mergeCell ref="D3:G3"/>
    <mergeCell ref="N3:O3"/>
    <mergeCell ref="P3:R3"/>
    <mergeCell ref="S3:W3"/>
    <mergeCell ref="A1:H2"/>
    <mergeCell ref="I1:J2"/>
    <mergeCell ref="K1:M2"/>
    <mergeCell ref="A5:B5"/>
    <mergeCell ref="C5:G5"/>
    <mergeCell ref="H5:I5"/>
    <mergeCell ref="J5:M5"/>
    <mergeCell ref="A4:B4"/>
    <mergeCell ref="C4:G4"/>
    <mergeCell ref="H4:I4"/>
    <mergeCell ref="J4:M4"/>
    <mergeCell ref="N4:O5"/>
    <mergeCell ref="P4:U5"/>
    <mergeCell ref="V4:W5"/>
    <mergeCell ref="S6:T6"/>
    <mergeCell ref="U6:W6"/>
    <mergeCell ref="A7:A8"/>
    <mergeCell ref="B7:C8"/>
    <mergeCell ref="D7:D8"/>
    <mergeCell ref="E7:F8"/>
    <mergeCell ref="G7:G8"/>
    <mergeCell ref="H7:I8"/>
    <mergeCell ref="J7:J8"/>
    <mergeCell ref="U7:W7"/>
    <mergeCell ref="S8:T9"/>
    <mergeCell ref="U8:W9"/>
    <mergeCell ref="K7:L8"/>
    <mergeCell ref="M7:M8"/>
    <mergeCell ref="N7:O8"/>
    <mergeCell ref="P7:P8"/>
    <mergeCell ref="Q7:R8"/>
    <mergeCell ref="S7:T7"/>
    <mergeCell ref="A6:C6"/>
    <mergeCell ref="D6:F6"/>
    <mergeCell ref="G6:I6"/>
    <mergeCell ref="J6:L6"/>
    <mergeCell ref="M6:O6"/>
    <mergeCell ref="P6:R6"/>
    <mergeCell ref="U12:W13"/>
    <mergeCell ref="S14:T14"/>
    <mergeCell ref="U14:W14"/>
    <mergeCell ref="G15:L15"/>
    <mergeCell ref="S15:T16"/>
    <mergeCell ref="U15:W16"/>
    <mergeCell ref="A10:C10"/>
    <mergeCell ref="D10:E10"/>
    <mergeCell ref="B12:C13"/>
    <mergeCell ref="F12:F13"/>
    <mergeCell ref="I12:J13"/>
    <mergeCell ref="K12:K13"/>
    <mergeCell ref="L12:M13"/>
    <mergeCell ref="O12:P13"/>
    <mergeCell ref="S12:T13"/>
    <mergeCell ref="F10:G11"/>
    <mergeCell ref="H10:I10"/>
    <mergeCell ref="K10:M11"/>
    <mergeCell ref="A11:E11"/>
    <mergeCell ref="H11:J11"/>
    <mergeCell ref="S17:W17"/>
    <mergeCell ref="D18:F18"/>
    <mergeCell ref="G18:I18"/>
    <mergeCell ref="J18:L18"/>
    <mergeCell ref="O18:Q18"/>
    <mergeCell ref="S18:W18"/>
    <mergeCell ref="A16:B18"/>
    <mergeCell ref="D16:F16"/>
    <mergeCell ref="G16:I16"/>
    <mergeCell ref="J16:L16"/>
    <mergeCell ref="M16:N16"/>
    <mergeCell ref="O16:Q16"/>
    <mergeCell ref="O17:Q17"/>
    <mergeCell ref="M17:N19"/>
    <mergeCell ref="S19:W19"/>
    <mergeCell ref="A20:C20"/>
    <mergeCell ref="D20:F20"/>
    <mergeCell ref="G20:I20"/>
    <mergeCell ref="J20:L20"/>
    <mergeCell ref="O20:Q20"/>
    <mergeCell ref="S20:T20"/>
    <mergeCell ref="U20:W20"/>
    <mergeCell ref="A19:C19"/>
    <mergeCell ref="D19:F19"/>
    <mergeCell ref="G19:I19"/>
    <mergeCell ref="J19:L19"/>
    <mergeCell ref="O19:Q19"/>
    <mergeCell ref="A22:C22"/>
    <mergeCell ref="D22:Q22"/>
    <mergeCell ref="T22:V22"/>
    <mergeCell ref="A23:C23"/>
    <mergeCell ref="D23:Q23"/>
    <mergeCell ref="S23:S24"/>
    <mergeCell ref="A21:C21"/>
    <mergeCell ref="D21:F21"/>
    <mergeCell ref="G21:L21"/>
    <mergeCell ref="M21:Q21"/>
    <mergeCell ref="S21:T21"/>
    <mergeCell ref="U21:W21"/>
    <mergeCell ref="W23:W24"/>
    <mergeCell ref="D24:F24"/>
    <mergeCell ref="T24:V24"/>
    <mergeCell ref="A25:B27"/>
    <mergeCell ref="I25:K25"/>
    <mergeCell ref="L25:L27"/>
    <mergeCell ref="N25:N26"/>
    <mergeCell ref="O25:P25"/>
    <mergeCell ref="A28:B30"/>
    <mergeCell ref="C28:D30"/>
    <mergeCell ref="E28:I28"/>
    <mergeCell ref="J28:M28"/>
    <mergeCell ref="O28:P31"/>
    <mergeCell ref="E29:I29"/>
    <mergeCell ref="A31:C31"/>
    <mergeCell ref="D25:F25"/>
    <mergeCell ref="G25:H27"/>
    <mergeCell ref="D26:F26"/>
    <mergeCell ref="D27:F27"/>
    <mergeCell ref="E30:I30"/>
    <mergeCell ref="Q25:Q26"/>
    <mergeCell ref="R25:S25"/>
    <mergeCell ref="U25:V25"/>
    <mergeCell ref="I26:K26"/>
    <mergeCell ref="O26:P27"/>
    <mergeCell ref="R26:T26"/>
    <mergeCell ref="U26:W26"/>
    <mergeCell ref="I27:K27"/>
    <mergeCell ref="R29:T29"/>
    <mergeCell ref="U29:W29"/>
    <mergeCell ref="R30:T30"/>
    <mergeCell ref="U30:W30"/>
    <mergeCell ref="N27:N31"/>
    <mergeCell ref="Q27:Q31"/>
    <mergeCell ref="R27:T27"/>
    <mergeCell ref="U27:W27"/>
    <mergeCell ref="D31:G31"/>
    <mergeCell ref="H31:M31"/>
    <mergeCell ref="R31:T31"/>
    <mergeCell ref="U31:W31"/>
    <mergeCell ref="R28:T28"/>
    <mergeCell ref="U28:W28"/>
    <mergeCell ref="A44:B44"/>
    <mergeCell ref="C44:G44"/>
    <mergeCell ref="A48:F48"/>
    <mergeCell ref="J48:O48"/>
    <mergeCell ref="S48:W48"/>
    <mergeCell ref="A47:B47"/>
    <mergeCell ref="C47:G47"/>
    <mergeCell ref="L47:M47"/>
    <mergeCell ref="H44:K47"/>
    <mergeCell ref="A46:B46"/>
    <mergeCell ref="C46:G46"/>
    <mergeCell ref="A45:B45"/>
    <mergeCell ref="C45:G45"/>
    <mergeCell ref="L44:M44"/>
    <mergeCell ref="E33:F33"/>
    <mergeCell ref="G33:H33"/>
    <mergeCell ref="I33:J33"/>
    <mergeCell ref="K33:M33"/>
    <mergeCell ref="L42:M43"/>
    <mergeCell ref="A41:W41"/>
    <mergeCell ref="N32:R33"/>
    <mergeCell ref="S32:S33"/>
    <mergeCell ref="T32:U33"/>
    <mergeCell ref="V32:W33"/>
    <mergeCell ref="A34:M34"/>
    <mergeCell ref="N34:W34"/>
    <mergeCell ref="A35:M40"/>
    <mergeCell ref="N35:W36"/>
    <mergeCell ref="N37:W40"/>
    <mergeCell ref="A32:D33"/>
    <mergeCell ref="A42:B43"/>
    <mergeCell ref="C42:G43"/>
    <mergeCell ref="H42:K43"/>
    <mergeCell ref="E32:F32"/>
    <mergeCell ref="G32:H32"/>
    <mergeCell ref="I32:J32"/>
    <mergeCell ref="K32:M32"/>
    <mergeCell ref="A54:B54"/>
    <mergeCell ref="C54:D54"/>
    <mergeCell ref="E54:F54"/>
    <mergeCell ref="G54:H54"/>
    <mergeCell ref="I54:J54"/>
    <mergeCell ref="K54:L54"/>
    <mergeCell ref="M54:W54"/>
    <mergeCell ref="A55:B55"/>
    <mergeCell ref="C55:D55"/>
    <mergeCell ref="E55:F55"/>
    <mergeCell ref="G55:H55"/>
    <mergeCell ref="I55:J55"/>
    <mergeCell ref="K55:L55"/>
    <mergeCell ref="M55:W55"/>
    <mergeCell ref="A56:B56"/>
    <mergeCell ref="C56:D56"/>
    <mergeCell ref="E56:F56"/>
    <mergeCell ref="G56:H56"/>
    <mergeCell ref="I56:J56"/>
    <mergeCell ref="K56:L56"/>
    <mergeCell ref="M56:W56"/>
    <mergeCell ref="K58:L58"/>
    <mergeCell ref="M58:W58"/>
    <mergeCell ref="A57:B57"/>
    <mergeCell ref="C57:D57"/>
    <mergeCell ref="E57:F57"/>
    <mergeCell ref="G57:H57"/>
    <mergeCell ref="I57:J57"/>
    <mergeCell ref="K57:L57"/>
    <mergeCell ref="M57:W57"/>
    <mergeCell ref="A58:B58"/>
    <mergeCell ref="C58:D58"/>
    <mergeCell ref="E58:F58"/>
    <mergeCell ref="G58:H58"/>
    <mergeCell ref="I58:J58"/>
    <mergeCell ref="E65:F65"/>
    <mergeCell ref="A59:B59"/>
    <mergeCell ref="C59:D59"/>
    <mergeCell ref="E59:F59"/>
    <mergeCell ref="G59:H59"/>
    <mergeCell ref="I59:J59"/>
    <mergeCell ref="K59:L59"/>
    <mergeCell ref="M59:W59"/>
    <mergeCell ref="A60:B60"/>
    <mergeCell ref="C60:D60"/>
    <mergeCell ref="E60:F60"/>
    <mergeCell ref="G60:H60"/>
    <mergeCell ref="I60:J60"/>
    <mergeCell ref="K60:L60"/>
    <mergeCell ref="M60:W60"/>
    <mergeCell ref="A67:B67"/>
    <mergeCell ref="A61:B61"/>
    <mergeCell ref="C61:D61"/>
    <mergeCell ref="E61:F61"/>
    <mergeCell ref="G61:H61"/>
    <mergeCell ref="I61:J61"/>
    <mergeCell ref="K61:L61"/>
    <mergeCell ref="M61:W61"/>
    <mergeCell ref="E67:F67"/>
    <mergeCell ref="G67:H67"/>
    <mergeCell ref="I67:J67"/>
    <mergeCell ref="K67:L67"/>
    <mergeCell ref="M67:W67"/>
    <mergeCell ref="K63:L63"/>
    <mergeCell ref="M63:W63"/>
    <mergeCell ref="A64:B64"/>
    <mergeCell ref="C64:D64"/>
    <mergeCell ref="E64:F64"/>
    <mergeCell ref="G64:H64"/>
    <mergeCell ref="I64:J64"/>
    <mergeCell ref="K64:L64"/>
    <mergeCell ref="M64:W64"/>
    <mergeCell ref="A65:B65"/>
    <mergeCell ref="C65:D65"/>
    <mergeCell ref="C67:D67"/>
    <mergeCell ref="E66:F66"/>
    <mergeCell ref="A87:B88"/>
    <mergeCell ref="C87:D88"/>
    <mergeCell ref="E87:Q88"/>
    <mergeCell ref="R87:S88"/>
    <mergeCell ref="T87:U88"/>
    <mergeCell ref="V87:W88"/>
    <mergeCell ref="N42:W43"/>
    <mergeCell ref="N44:W47"/>
    <mergeCell ref="L45:M46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K69:L69"/>
    <mergeCell ref="K66:L66"/>
    <mergeCell ref="M66:W66"/>
  </mergeCells>
  <phoneticPr fontId="3" type="noConversion"/>
  <conditionalFormatting sqref="G21:Q21">
    <cfRule type="cellIs" dxfId="2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9.9978637043366805E-2"/>
  </sheetPr>
  <dimension ref="A1:AA88"/>
  <sheetViews>
    <sheetView showGridLines="0" showZeros="0" view="pageBreakPreview" zoomScale="85" zoomScaleNormal="100" zoomScaleSheetLayoutView="85" workbookViewId="0">
      <selection activeCell="U15" sqref="U15:W16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371" t="s">
        <v>223</v>
      </c>
      <c r="J1" s="372"/>
      <c r="K1" s="365">
        <f>sheet1!K1</f>
        <v>0</v>
      </c>
      <c r="L1" s="366"/>
      <c r="M1" s="367"/>
      <c r="N1" s="343" t="s">
        <v>6</v>
      </c>
      <c r="O1" s="344"/>
      <c r="P1" s="347" t="str">
        <f>sheet1!P1</f>
        <v>000000-00-00-00</v>
      </c>
      <c r="Q1" s="347"/>
      <c r="R1" s="347"/>
      <c r="S1" s="347"/>
      <c r="T1" s="347"/>
      <c r="U1" s="347"/>
      <c r="V1" s="347"/>
      <c r="W1" s="348"/>
    </row>
    <row r="2" spans="1:27" ht="20.100000000000001" customHeight="1" thickBot="1">
      <c r="A2" s="362"/>
      <c r="B2" s="349"/>
      <c r="C2" s="349"/>
      <c r="D2" s="349"/>
      <c r="E2" s="349"/>
      <c r="F2" s="349"/>
      <c r="G2" s="349"/>
      <c r="H2" s="349"/>
      <c r="I2" s="373"/>
      <c r="J2" s="374"/>
      <c r="K2" s="368"/>
      <c r="L2" s="369"/>
      <c r="M2" s="370"/>
      <c r="N2" s="345"/>
      <c r="O2" s="346"/>
      <c r="P2" s="349"/>
      <c r="Q2" s="349"/>
      <c r="R2" s="349"/>
      <c r="S2" s="349"/>
      <c r="T2" s="349"/>
      <c r="U2" s="349"/>
      <c r="V2" s="349"/>
      <c r="W2" s="350"/>
    </row>
    <row r="3" spans="1:27" s="2" customFormat="1" ht="15" customHeight="1">
      <c r="A3" s="351" t="s">
        <v>0</v>
      </c>
      <c r="B3" s="352"/>
      <c r="C3" s="352"/>
      <c r="D3" s="360">
        <f>sheet1!D3</f>
        <v>0</v>
      </c>
      <c r="E3" s="360"/>
      <c r="F3" s="360"/>
      <c r="G3" s="360"/>
      <c r="H3" s="1"/>
      <c r="I3" s="1"/>
      <c r="J3" s="1"/>
      <c r="K3" s="1"/>
      <c r="L3" s="1"/>
      <c r="M3" s="1"/>
      <c r="N3" s="353" t="s">
        <v>1</v>
      </c>
      <c r="O3" s="354"/>
      <c r="P3" s="355">
        <f>sheet1!P3</f>
        <v>0</v>
      </c>
      <c r="Q3" s="352"/>
      <c r="R3" s="356"/>
      <c r="S3" s="357" t="s">
        <v>121</v>
      </c>
      <c r="T3" s="358"/>
      <c r="U3" s="358"/>
      <c r="V3" s="358"/>
      <c r="W3" s="359"/>
    </row>
    <row r="4" spans="1:27" s="2" customFormat="1" ht="24.95" customHeight="1">
      <c r="A4" s="363" t="s">
        <v>2</v>
      </c>
      <c r="B4" s="364"/>
      <c r="C4" s="375">
        <f>sheet1!C4</f>
        <v>0</v>
      </c>
      <c r="D4" s="376"/>
      <c r="E4" s="376"/>
      <c r="F4" s="376"/>
      <c r="G4" s="377"/>
      <c r="H4" s="364" t="s">
        <v>3</v>
      </c>
      <c r="I4" s="364"/>
      <c r="J4" s="378">
        <f>sheet1!J4</f>
        <v>0</v>
      </c>
      <c r="K4" s="379"/>
      <c r="L4" s="379"/>
      <c r="M4" s="379"/>
      <c r="N4" s="445" t="s">
        <v>52</v>
      </c>
      <c r="O4" s="396"/>
      <c r="P4" s="384">
        <f>sheet1!P4</f>
        <v>0</v>
      </c>
      <c r="Q4" s="385"/>
      <c r="R4" s="385"/>
      <c r="S4" s="385"/>
      <c r="T4" s="385"/>
      <c r="U4" s="385"/>
      <c r="V4" s="380" t="str">
        <f>QRCode(sheet1!P1)</f>
        <v/>
      </c>
      <c r="W4" s="381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>
      <c r="A5" s="460" t="s">
        <v>4</v>
      </c>
      <c r="B5" s="461"/>
      <c r="C5" s="462">
        <f>sheet1!C5</f>
        <v>0</v>
      </c>
      <c r="D5" s="463"/>
      <c r="E5" s="463"/>
      <c r="F5" s="463"/>
      <c r="G5" s="464"/>
      <c r="H5" s="465" t="s">
        <v>5</v>
      </c>
      <c r="I5" s="466"/>
      <c r="J5" s="467">
        <f>sheet1!J5</f>
        <v>0</v>
      </c>
      <c r="K5" s="468"/>
      <c r="L5" s="468"/>
      <c r="M5" s="468"/>
      <c r="N5" s="345"/>
      <c r="O5" s="346"/>
      <c r="P5" s="386"/>
      <c r="Q5" s="387"/>
      <c r="R5" s="387"/>
      <c r="S5" s="387"/>
      <c r="T5" s="387"/>
      <c r="U5" s="387"/>
      <c r="V5" s="382"/>
      <c r="W5" s="383"/>
      <c r="Y5" s="2" t="s">
        <v>240</v>
      </c>
      <c r="Z5" s="2" t="str">
        <f>MID(Y5,9,1)</f>
        <v>0</v>
      </c>
      <c r="AA5" s="2">
        <f>Z5*1</f>
        <v>0</v>
      </c>
    </row>
    <row r="6" spans="1:27" s="2" customFormat="1" ht="16.5" customHeight="1">
      <c r="A6" s="469" t="s">
        <v>7</v>
      </c>
      <c r="B6" s="388"/>
      <c r="C6" s="388"/>
      <c r="D6" s="458" t="s">
        <v>7</v>
      </c>
      <c r="E6" s="388"/>
      <c r="F6" s="470"/>
      <c r="G6" s="388" t="s">
        <v>7</v>
      </c>
      <c r="H6" s="388"/>
      <c r="I6" s="388"/>
      <c r="J6" s="458" t="s">
        <v>7</v>
      </c>
      <c r="K6" s="388"/>
      <c r="L6" s="470"/>
      <c r="M6" s="388" t="s">
        <v>7</v>
      </c>
      <c r="N6" s="388"/>
      <c r="O6" s="388"/>
      <c r="P6" s="458" t="s">
        <v>7</v>
      </c>
      <c r="Q6" s="388"/>
      <c r="R6" s="459"/>
      <c r="S6" s="456" t="s">
        <v>169</v>
      </c>
      <c r="T6" s="457"/>
      <c r="U6" s="453">
        <f>sheet1!U6</f>
        <v>0</v>
      </c>
      <c r="V6" s="454"/>
      <c r="W6" s="455"/>
    </row>
    <row r="7" spans="1:27" s="2" customFormat="1" ht="16.5" customHeight="1">
      <c r="A7" s="409" t="s">
        <v>64</v>
      </c>
      <c r="B7" s="300" t="s">
        <v>65</v>
      </c>
      <c r="C7" s="301"/>
      <c r="D7" s="304" t="s">
        <v>66</v>
      </c>
      <c r="E7" s="300" t="s">
        <v>67</v>
      </c>
      <c r="F7" s="420"/>
      <c r="G7" s="422" t="s">
        <v>68</v>
      </c>
      <c r="H7" s="300" t="s">
        <v>69</v>
      </c>
      <c r="I7" s="301"/>
      <c r="J7" s="304" t="s">
        <v>70</v>
      </c>
      <c r="K7" s="300" t="s">
        <v>86</v>
      </c>
      <c r="L7" s="420"/>
      <c r="M7" s="422" t="s">
        <v>71</v>
      </c>
      <c r="N7" s="300" t="s">
        <v>90</v>
      </c>
      <c r="O7" s="301"/>
      <c r="P7" s="304" t="s">
        <v>88</v>
      </c>
      <c r="Q7" s="300" t="s">
        <v>57</v>
      </c>
      <c r="R7" s="400"/>
      <c r="S7" s="395" t="s">
        <v>171</v>
      </c>
      <c r="T7" s="396"/>
      <c r="U7" s="397">
        <f>sheet1!U7</f>
        <v>0</v>
      </c>
      <c r="V7" s="398"/>
      <c r="W7" s="399"/>
    </row>
    <row r="8" spans="1:27" s="2" customFormat="1" ht="16.5" customHeight="1">
      <c r="A8" s="410"/>
      <c r="B8" s="302"/>
      <c r="C8" s="303"/>
      <c r="D8" s="305"/>
      <c r="E8" s="302"/>
      <c r="F8" s="421"/>
      <c r="G8" s="423"/>
      <c r="H8" s="302"/>
      <c r="I8" s="303"/>
      <c r="J8" s="305"/>
      <c r="K8" s="302"/>
      <c r="L8" s="421"/>
      <c r="M8" s="423"/>
      <c r="N8" s="302"/>
      <c r="O8" s="303"/>
      <c r="P8" s="305"/>
      <c r="Q8" s="302"/>
      <c r="R8" s="401"/>
      <c r="S8" s="417" t="s">
        <v>139</v>
      </c>
      <c r="T8" s="418"/>
      <c r="U8" s="389"/>
      <c r="V8" s="390"/>
      <c r="W8" s="391"/>
    </row>
    <row r="9" spans="1:27" s="2" customFormat="1" ht="16.5" customHeight="1" thickBot="1">
      <c r="A9" s="319" t="s">
        <v>172</v>
      </c>
      <c r="B9" s="320"/>
      <c r="C9" s="320"/>
      <c r="D9" s="320"/>
      <c r="E9" s="320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275"/>
      <c r="T9" s="419"/>
      <c r="U9" s="392"/>
      <c r="V9" s="393"/>
      <c r="W9" s="394"/>
    </row>
    <row r="10" spans="1:27" s="4" customFormat="1" ht="15" customHeight="1">
      <c r="A10" s="238" t="s">
        <v>9</v>
      </c>
      <c r="B10" s="278"/>
      <c r="C10" s="278"/>
      <c r="D10" s="446" t="s">
        <v>144</v>
      </c>
      <c r="E10" s="446"/>
      <c r="F10" s="284" t="s">
        <v>175</v>
      </c>
      <c r="G10" s="285"/>
      <c r="H10" s="429" t="s">
        <v>140</v>
      </c>
      <c r="I10" s="430"/>
      <c r="J10" s="74"/>
      <c r="K10" s="414" t="s">
        <v>176</v>
      </c>
      <c r="L10" s="415"/>
      <c r="M10" s="415"/>
      <c r="N10" s="447" t="s">
        <v>193</v>
      </c>
      <c r="O10" s="448"/>
      <c r="P10" s="448"/>
      <c r="Q10" s="449"/>
      <c r="R10" s="287" t="s">
        <v>162</v>
      </c>
      <c r="S10" s="288"/>
      <c r="T10" s="288"/>
      <c r="U10" s="288"/>
      <c r="V10" s="288"/>
      <c r="W10" s="289"/>
    </row>
    <row r="11" spans="1:27" s="4" customFormat="1" ht="24" customHeight="1" thickBot="1">
      <c r="A11" s="424" t="s">
        <v>178</v>
      </c>
      <c r="B11" s="425"/>
      <c r="C11" s="425"/>
      <c r="D11" s="425"/>
      <c r="E11" s="405"/>
      <c r="F11" s="286"/>
      <c r="G11" s="286"/>
      <c r="H11" s="426"/>
      <c r="I11" s="427"/>
      <c r="J11" s="428"/>
      <c r="K11" s="416"/>
      <c r="L11" s="416"/>
      <c r="M11" s="416"/>
      <c r="N11" s="450"/>
      <c r="O11" s="451"/>
      <c r="P11" s="451"/>
      <c r="Q11" s="452"/>
      <c r="R11" s="290" t="s">
        <v>163</v>
      </c>
      <c r="S11" s="291"/>
      <c r="T11" s="291"/>
      <c r="U11" s="291" t="s">
        <v>164</v>
      </c>
      <c r="V11" s="291"/>
      <c r="W11" s="292"/>
    </row>
    <row r="12" spans="1:27" s="4" customFormat="1" ht="9.9499999999999993" customHeight="1">
      <c r="A12" s="125"/>
      <c r="B12" s="238"/>
      <c r="C12" s="239"/>
      <c r="D12" s="130"/>
      <c r="E12" s="122"/>
      <c r="F12" s="239"/>
      <c r="G12" s="130"/>
      <c r="H12" s="238"/>
      <c r="I12" s="278"/>
      <c r="J12" s="239"/>
      <c r="K12" s="134"/>
      <c r="L12" s="238"/>
      <c r="M12" s="278"/>
      <c r="N12" s="239"/>
      <c r="O12" s="133"/>
      <c r="P12" s="238"/>
      <c r="Q12" s="278"/>
      <c r="R12" s="239"/>
      <c r="S12" s="238" t="s">
        <v>10</v>
      </c>
      <c r="T12" s="299"/>
      <c r="U12" s="293" t="str">
        <f>sheet1!U12</f>
        <v>100℃±10℃</v>
      </c>
      <c r="V12" s="294"/>
      <c r="W12" s="295"/>
    </row>
    <row r="13" spans="1:27" s="4" customFormat="1" ht="9.9499999999999993" customHeight="1" thickBot="1">
      <c r="A13" s="125"/>
      <c r="B13" s="240"/>
      <c r="C13" s="241"/>
      <c r="D13" s="130"/>
      <c r="E13" s="124"/>
      <c r="F13" s="241"/>
      <c r="G13" s="130"/>
      <c r="H13" s="240"/>
      <c r="I13" s="654"/>
      <c r="J13" s="241"/>
      <c r="K13" s="5"/>
      <c r="L13" s="240"/>
      <c r="M13" s="654"/>
      <c r="N13" s="241"/>
      <c r="O13" s="6"/>
      <c r="P13" s="240"/>
      <c r="Q13" s="654"/>
      <c r="R13" s="241"/>
      <c r="S13" s="236"/>
      <c r="T13" s="237"/>
      <c r="U13" s="296"/>
      <c r="V13" s="297"/>
      <c r="W13" s="298"/>
    </row>
    <row r="14" spans="1:27" s="4" customFormat="1" ht="15" customHeight="1">
      <c r="A14" s="125"/>
      <c r="B14" s="123"/>
      <c r="C14" s="130"/>
      <c r="D14" s="130"/>
      <c r="E14" s="130"/>
      <c r="F14" s="6"/>
      <c r="G14" s="7"/>
      <c r="H14" s="7"/>
      <c r="I14" s="130"/>
      <c r="J14" s="125"/>
      <c r="K14" s="130"/>
      <c r="L14" s="130"/>
      <c r="M14" s="130"/>
      <c r="N14" s="122"/>
      <c r="O14" s="130"/>
      <c r="P14" s="130"/>
      <c r="Q14" s="129"/>
      <c r="R14" s="130"/>
      <c r="S14" s="306" t="s">
        <v>11</v>
      </c>
      <c r="T14" s="307"/>
      <c r="U14" s="411" t="str">
        <f>sheet1!U14</f>
        <v>40M</v>
      </c>
      <c r="V14" s="412"/>
      <c r="W14" s="413"/>
    </row>
    <row r="15" spans="1:27" s="4" customFormat="1" ht="20.100000000000001" customHeight="1" thickBot="1">
      <c r="A15" s="125"/>
      <c r="B15" s="129"/>
      <c r="C15" s="130"/>
      <c r="D15" s="130"/>
      <c r="E15" s="130"/>
      <c r="F15" s="120"/>
      <c r="H15" s="39"/>
      <c r="I15" s="39"/>
      <c r="J15" s="653" t="str">
        <f>sheet1!O16</f>
        <v>860℃±10℃</v>
      </c>
      <c r="K15" s="427"/>
      <c r="L15" s="427"/>
      <c r="M15" s="427"/>
      <c r="N15" s="427"/>
      <c r="O15" s="427"/>
      <c r="P15" s="427"/>
      <c r="Q15" s="475"/>
      <c r="R15" s="130"/>
      <c r="S15" s="234" t="s">
        <v>12</v>
      </c>
      <c r="T15" s="235"/>
      <c r="U15" s="402" t="str">
        <f>sheet1!U15</f>
        <v>60Hz</v>
      </c>
      <c r="V15" s="403"/>
      <c r="W15" s="404"/>
    </row>
    <row r="16" spans="1:27" s="4" customFormat="1" ht="20.100000000000001" customHeight="1" thickBot="1">
      <c r="A16" s="476" t="s">
        <v>13</v>
      </c>
      <c r="B16" s="477"/>
      <c r="C16" s="131"/>
      <c r="F16" s="661" t="str">
        <f>sheet1!G15</f>
        <v>930℃±10℃</v>
      </c>
      <c r="G16" s="662"/>
      <c r="H16" s="662"/>
      <c r="I16" s="128"/>
      <c r="J16" s="238" t="s">
        <v>14</v>
      </c>
      <c r="K16" s="278"/>
      <c r="L16" s="278"/>
      <c r="M16" s="239"/>
      <c r="N16" s="238" t="s">
        <v>15</v>
      </c>
      <c r="O16" s="278"/>
      <c r="P16" s="278"/>
      <c r="Q16" s="239"/>
      <c r="R16" s="656"/>
      <c r="S16" s="236"/>
      <c r="T16" s="237"/>
      <c r="U16" s="296"/>
      <c r="V16" s="297"/>
      <c r="W16" s="298"/>
    </row>
    <row r="17" spans="1:25" s="4" customFormat="1" ht="17.25" customHeight="1">
      <c r="A17" s="478"/>
      <c r="B17" s="479"/>
      <c r="C17" s="130"/>
      <c r="D17" s="655"/>
      <c r="E17" s="272"/>
      <c r="F17" s="238"/>
      <c r="G17" s="278"/>
      <c r="H17" s="239"/>
      <c r="I17" s="130"/>
      <c r="J17" s="236"/>
      <c r="K17" s="657"/>
      <c r="L17" s="657"/>
      <c r="M17" s="657"/>
      <c r="N17" s="236"/>
      <c r="O17" s="657"/>
      <c r="P17" s="657"/>
      <c r="Q17" s="273"/>
      <c r="R17" s="656"/>
      <c r="S17" s="282" t="s">
        <v>17</v>
      </c>
      <c r="T17" s="282"/>
      <c r="U17" s="282"/>
      <c r="V17" s="282"/>
      <c r="W17" s="283"/>
    </row>
    <row r="18" spans="1:25" s="4" customFormat="1" ht="17.25" customHeight="1" thickBot="1">
      <c r="A18" s="480"/>
      <c r="B18" s="481"/>
      <c r="C18" s="7"/>
      <c r="D18" s="275" t="s">
        <v>18</v>
      </c>
      <c r="E18" s="277"/>
      <c r="F18" s="275" t="s">
        <v>19</v>
      </c>
      <c r="G18" s="276"/>
      <c r="H18" s="277"/>
      <c r="I18" s="39"/>
      <c r="J18" s="275" t="s">
        <v>20</v>
      </c>
      <c r="K18" s="276"/>
      <c r="L18" s="276"/>
      <c r="M18" s="276"/>
      <c r="N18" s="275" t="s">
        <v>21</v>
      </c>
      <c r="O18" s="276"/>
      <c r="P18" s="276"/>
      <c r="Q18" s="277"/>
      <c r="R18" s="6"/>
      <c r="S18" s="183"/>
      <c r="T18" s="184"/>
      <c r="U18" s="184"/>
      <c r="V18" s="184"/>
      <c r="W18" s="185"/>
    </row>
    <row r="19" spans="1:25" s="4" customFormat="1" ht="17.25" customHeight="1">
      <c r="A19" s="492" t="s">
        <v>22</v>
      </c>
      <c r="B19" s="493"/>
      <c r="C19" s="196"/>
      <c r="D19" s="315" t="s">
        <v>23</v>
      </c>
      <c r="E19" s="246"/>
      <c r="F19" s="658" t="str">
        <f>sheet1!G19</f>
        <v>5Hr00M</v>
      </c>
      <c r="G19" s="659"/>
      <c r="H19" s="660"/>
      <c r="I19" s="132"/>
      <c r="J19" s="315" t="str">
        <f>sheet1!J19</f>
        <v>40M</v>
      </c>
      <c r="K19" s="245"/>
      <c r="L19" s="245"/>
      <c r="M19" s="245"/>
      <c r="N19" s="315" t="str">
        <f>sheet1!O19</f>
        <v>20M</v>
      </c>
      <c r="O19" s="245"/>
      <c r="P19" s="245"/>
      <c r="Q19" s="246"/>
      <c r="R19" s="6"/>
      <c r="S19" s="308" t="s">
        <v>109</v>
      </c>
      <c r="T19" s="309"/>
      <c r="U19" s="309"/>
      <c r="V19" s="309"/>
      <c r="W19" s="310"/>
    </row>
    <row r="20" spans="1:25" s="4" customFormat="1" ht="17.25" customHeight="1">
      <c r="A20" s="194" t="s">
        <v>24</v>
      </c>
      <c r="B20" s="500"/>
      <c r="C20" s="501"/>
      <c r="D20" s="482" t="s">
        <v>123</v>
      </c>
      <c r="E20" s="483"/>
      <c r="F20" s="483"/>
      <c r="G20" s="483"/>
      <c r="H20" s="483"/>
      <c r="I20" s="486"/>
      <c r="J20" s="626" t="str">
        <f>sheet1!J20</f>
        <v>0.80%</v>
      </c>
      <c r="K20" s="625"/>
      <c r="L20" s="625"/>
      <c r="M20" s="627"/>
      <c r="N20" s="625" t="str">
        <f>sheet1!O20</f>
        <v>0.70%</v>
      </c>
      <c r="O20" s="625"/>
      <c r="P20" s="625"/>
      <c r="Q20" s="627"/>
      <c r="R20" s="120"/>
      <c r="S20" s="183" t="s">
        <v>1</v>
      </c>
      <c r="T20" s="274"/>
      <c r="U20" s="314" t="s">
        <v>26</v>
      </c>
      <c r="V20" s="184"/>
      <c r="W20" s="185"/>
    </row>
    <row r="21" spans="1:25" s="4" customFormat="1" ht="17.25" customHeight="1">
      <c r="A21" s="194" t="s">
        <v>27</v>
      </c>
      <c r="B21" s="195"/>
      <c r="C21" s="196"/>
      <c r="D21" s="482" t="s">
        <v>28</v>
      </c>
      <c r="E21" s="483"/>
      <c r="F21" s="483"/>
      <c r="G21" s="483"/>
      <c r="H21" s="483"/>
      <c r="I21" s="486"/>
      <c r="J21" s="484" t="str">
        <f>sheet1!G21</f>
        <v>CUT</v>
      </c>
      <c r="K21" s="485"/>
      <c r="L21" s="485"/>
      <c r="M21" s="663"/>
      <c r="N21" s="279" t="str">
        <f>sheet1!M21</f>
        <v>CUT</v>
      </c>
      <c r="O21" s="280"/>
      <c r="P21" s="280"/>
      <c r="Q21" s="281"/>
      <c r="R21" s="121"/>
      <c r="S21" s="183" t="s">
        <v>29</v>
      </c>
      <c r="T21" s="274"/>
      <c r="U21" s="183"/>
      <c r="V21" s="184"/>
      <c r="W21" s="185"/>
    </row>
    <row r="22" spans="1:25" s="4" customFormat="1" ht="17.25" customHeight="1" thickBot="1">
      <c r="A22" s="194" t="s">
        <v>30</v>
      </c>
      <c r="B22" s="195"/>
      <c r="C22" s="196"/>
      <c r="D22" s="482" t="s">
        <v>31</v>
      </c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6"/>
      <c r="R22" s="12"/>
      <c r="S22" s="13"/>
      <c r="T22" s="193" t="str">
        <f>sheet1!T22</f>
        <v>180℃±5℃</v>
      </c>
      <c r="U22" s="193"/>
      <c r="V22" s="193"/>
      <c r="W22" s="14"/>
    </row>
    <row r="23" spans="1:25" s="4" customFormat="1" ht="17.25" customHeight="1" thickBot="1">
      <c r="A23" s="194" t="s">
        <v>32</v>
      </c>
      <c r="B23" s="195"/>
      <c r="C23" s="196"/>
      <c r="D23" s="319" t="s">
        <v>33</v>
      </c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1"/>
      <c r="R23" s="120"/>
      <c r="S23" s="186"/>
      <c r="T23" s="15"/>
      <c r="U23" s="16"/>
      <c r="V23" s="17"/>
      <c r="W23" s="318"/>
    </row>
    <row r="24" spans="1:25" s="4" customFormat="1" ht="17.25" customHeight="1">
      <c r="A24" s="37" t="s">
        <v>34</v>
      </c>
      <c r="B24" s="7"/>
      <c r="C24" s="38"/>
      <c r="D24" s="193"/>
      <c r="E24" s="193"/>
      <c r="F24" s="193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186"/>
      <c r="T24" s="275" t="str">
        <f>sheet1!T24</f>
        <v>2Hr00M</v>
      </c>
      <c r="U24" s="276"/>
      <c r="V24" s="277"/>
      <c r="W24" s="318"/>
    </row>
    <row r="25" spans="1:25" s="4" customFormat="1" ht="16.5" customHeight="1">
      <c r="A25" s="187" t="s">
        <v>63</v>
      </c>
      <c r="B25" s="188"/>
      <c r="C25" s="40" t="s">
        <v>36</v>
      </c>
      <c r="D25" s="222" t="s">
        <v>72</v>
      </c>
      <c r="E25" s="223"/>
      <c r="F25" s="223"/>
      <c r="G25" s="322" t="s">
        <v>35</v>
      </c>
      <c r="H25" s="188"/>
      <c r="I25" s="222" t="s">
        <v>72</v>
      </c>
      <c r="J25" s="223"/>
      <c r="K25" s="233"/>
      <c r="L25" s="215" t="s">
        <v>37</v>
      </c>
      <c r="M25" s="41" t="s">
        <v>38</v>
      </c>
      <c r="N25" s="218" t="s">
        <v>70</v>
      </c>
      <c r="O25" s="220" t="s">
        <v>7</v>
      </c>
      <c r="P25" s="221"/>
      <c r="Q25" s="218" t="s">
        <v>88</v>
      </c>
      <c r="R25" s="621" t="s">
        <v>46</v>
      </c>
      <c r="S25" s="622"/>
      <c r="T25" s="55" t="s">
        <v>7</v>
      </c>
      <c r="U25" s="623" t="s">
        <v>73</v>
      </c>
      <c r="V25" s="624"/>
      <c r="W25" s="46" t="s">
        <v>7</v>
      </c>
    </row>
    <row r="26" spans="1:25" s="19" customFormat="1" ht="16.5" customHeight="1">
      <c r="A26" s="189"/>
      <c r="B26" s="190"/>
      <c r="C26" s="18" t="s">
        <v>124</v>
      </c>
      <c r="D26" s="325" t="s">
        <v>132</v>
      </c>
      <c r="E26" s="326"/>
      <c r="F26" s="326"/>
      <c r="G26" s="323"/>
      <c r="H26" s="190"/>
      <c r="I26" s="325" t="s">
        <v>132</v>
      </c>
      <c r="J26" s="326"/>
      <c r="K26" s="326"/>
      <c r="L26" s="216"/>
      <c r="M26" s="42" t="s">
        <v>39</v>
      </c>
      <c r="N26" s="219"/>
      <c r="O26" s="442" t="s">
        <v>89</v>
      </c>
      <c r="P26" s="443"/>
      <c r="Q26" s="219"/>
      <c r="R26" s="211" t="s">
        <v>48</v>
      </c>
      <c r="S26" s="206"/>
      <c r="T26" s="206"/>
      <c r="U26" s="331" t="s">
        <v>48</v>
      </c>
      <c r="V26" s="332"/>
      <c r="W26" s="333"/>
    </row>
    <row r="27" spans="1:25" s="19" customFormat="1" ht="16.5" customHeight="1">
      <c r="A27" s="191"/>
      <c r="B27" s="192"/>
      <c r="C27" s="43" t="s">
        <v>125</v>
      </c>
      <c r="D27" s="327" t="s">
        <v>131</v>
      </c>
      <c r="E27" s="328"/>
      <c r="F27" s="328"/>
      <c r="G27" s="324"/>
      <c r="H27" s="192"/>
      <c r="I27" s="327" t="s">
        <v>131</v>
      </c>
      <c r="J27" s="328"/>
      <c r="K27" s="328"/>
      <c r="L27" s="217"/>
      <c r="M27" s="44" t="s">
        <v>40</v>
      </c>
      <c r="N27" s="316" t="s">
        <v>90</v>
      </c>
      <c r="O27" s="205"/>
      <c r="P27" s="444"/>
      <c r="Q27" s="316" t="s">
        <v>57</v>
      </c>
      <c r="R27" s="580" t="s">
        <v>94</v>
      </c>
      <c r="S27" s="530"/>
      <c r="T27" s="530"/>
      <c r="U27" s="580" t="s">
        <v>74</v>
      </c>
      <c r="V27" s="530"/>
      <c r="W27" s="584"/>
    </row>
    <row r="28" spans="1:25" s="19" customFormat="1" ht="16.5" customHeight="1">
      <c r="A28" s="478" t="s">
        <v>203</v>
      </c>
      <c r="B28" s="639"/>
      <c r="C28" s="642" t="s">
        <v>41</v>
      </c>
      <c r="D28" s="642"/>
      <c r="E28" s="644" t="s">
        <v>75</v>
      </c>
      <c r="F28" s="493"/>
      <c r="G28" s="493"/>
      <c r="H28" s="493"/>
      <c r="I28" s="645"/>
      <c r="J28" s="493" t="s">
        <v>76</v>
      </c>
      <c r="K28" s="493"/>
      <c r="L28" s="493"/>
      <c r="M28" s="493"/>
      <c r="N28" s="316"/>
      <c r="O28" s="329" t="s">
        <v>91</v>
      </c>
      <c r="P28" s="330"/>
      <c r="Q28" s="316"/>
      <c r="R28" s="580" t="s">
        <v>77</v>
      </c>
      <c r="S28" s="530"/>
      <c r="T28" s="530"/>
      <c r="U28" s="581" t="s">
        <v>77</v>
      </c>
      <c r="V28" s="582"/>
      <c r="W28" s="583"/>
    </row>
    <row r="29" spans="1:25" s="19" customFormat="1" ht="17.100000000000001" customHeight="1">
      <c r="A29" s="478"/>
      <c r="B29" s="639"/>
      <c r="C29" s="642"/>
      <c r="D29" s="642"/>
      <c r="E29" s="646" t="s">
        <v>56</v>
      </c>
      <c r="F29" s="647"/>
      <c r="G29" s="647"/>
      <c r="H29" s="647"/>
      <c r="I29" s="648"/>
      <c r="J29" s="26"/>
      <c r="K29" s="26"/>
      <c r="L29" s="26"/>
      <c r="M29" s="26"/>
      <c r="N29" s="316"/>
      <c r="O29" s="329"/>
      <c r="P29" s="330"/>
      <c r="Q29" s="316"/>
      <c r="R29" s="529" t="s">
        <v>95</v>
      </c>
      <c r="S29" s="530"/>
      <c r="T29" s="531"/>
      <c r="U29" s="580" t="s">
        <v>78</v>
      </c>
      <c r="V29" s="530"/>
      <c r="W29" s="584"/>
    </row>
    <row r="30" spans="1:25" s="19" customFormat="1" ht="17.100000000000001" customHeight="1">
      <c r="A30" s="640"/>
      <c r="B30" s="641"/>
      <c r="C30" s="643"/>
      <c r="D30" s="643"/>
      <c r="E30" s="650" t="s">
        <v>197</v>
      </c>
      <c r="F30" s="651"/>
      <c r="G30" s="651"/>
      <c r="H30" s="651"/>
      <c r="I30" s="652"/>
      <c r="J30" s="27"/>
      <c r="K30" s="27"/>
      <c r="L30" s="27"/>
      <c r="M30" s="27"/>
      <c r="N30" s="316"/>
      <c r="O30" s="329"/>
      <c r="P30" s="330"/>
      <c r="Q30" s="316"/>
      <c r="R30" s="580" t="s">
        <v>58</v>
      </c>
      <c r="S30" s="530"/>
      <c r="T30" s="530"/>
      <c r="U30" s="581" t="s">
        <v>58</v>
      </c>
      <c r="V30" s="582"/>
      <c r="W30" s="583"/>
    </row>
    <row r="31" spans="1:25" s="19" customFormat="1" ht="17.100000000000001" customHeight="1">
      <c r="A31" s="649" t="s">
        <v>42</v>
      </c>
      <c r="B31" s="636"/>
      <c r="C31" s="636"/>
      <c r="D31" s="635" t="s">
        <v>43</v>
      </c>
      <c r="E31" s="636"/>
      <c r="F31" s="636"/>
      <c r="G31" s="636"/>
      <c r="H31" s="637">
        <f>sheet1!H31</f>
        <v>0</v>
      </c>
      <c r="I31" s="638"/>
      <c r="J31" s="638"/>
      <c r="K31" s="638"/>
      <c r="L31" s="638"/>
      <c r="M31" s="638"/>
      <c r="N31" s="317"/>
      <c r="O31" s="329"/>
      <c r="P31" s="330"/>
      <c r="Q31" s="317"/>
      <c r="R31" s="585" t="s">
        <v>96</v>
      </c>
      <c r="S31" s="533"/>
      <c r="T31" s="533"/>
      <c r="U31" s="585" t="s">
        <v>59</v>
      </c>
      <c r="V31" s="533"/>
      <c r="W31" s="586"/>
    </row>
    <row r="32" spans="1:25" s="19" customFormat="1" ht="17.100000000000001" customHeight="1">
      <c r="A32" s="631" t="s">
        <v>145</v>
      </c>
      <c r="B32" s="632"/>
      <c r="C32" s="632"/>
      <c r="D32" s="632"/>
      <c r="E32" s="591" t="s">
        <v>146</v>
      </c>
      <c r="F32" s="592"/>
      <c r="G32" s="592" t="s">
        <v>45</v>
      </c>
      <c r="H32" s="592"/>
      <c r="I32" s="592" t="s">
        <v>79</v>
      </c>
      <c r="J32" s="592"/>
      <c r="K32" s="593" t="s">
        <v>8</v>
      </c>
      <c r="L32" s="593"/>
      <c r="M32" s="594"/>
      <c r="N32" s="538" t="s">
        <v>80</v>
      </c>
      <c r="O32" s="539"/>
      <c r="P32" s="539"/>
      <c r="Q32" s="539"/>
      <c r="R32" s="539"/>
      <c r="S32" s="197" t="s">
        <v>7</v>
      </c>
      <c r="T32" s="199" t="s">
        <v>81</v>
      </c>
      <c r="U32" s="200"/>
      <c r="V32" s="199" t="s">
        <v>82</v>
      </c>
      <c r="W32" s="537"/>
      <c r="Y32" s="28"/>
    </row>
    <row r="33" spans="1:23" s="19" customFormat="1" ht="17.100000000000001" customHeight="1">
      <c r="A33" s="633"/>
      <c r="B33" s="634"/>
      <c r="C33" s="634"/>
      <c r="D33" s="634"/>
      <c r="E33" s="601"/>
      <c r="F33" s="602"/>
      <c r="G33" s="602"/>
      <c r="H33" s="602"/>
      <c r="I33" s="602"/>
      <c r="J33" s="602"/>
      <c r="K33" s="603"/>
      <c r="L33" s="604"/>
      <c r="M33" s="605"/>
      <c r="N33" s="540"/>
      <c r="O33" s="541"/>
      <c r="P33" s="541"/>
      <c r="Q33" s="541"/>
      <c r="R33" s="541"/>
      <c r="S33" s="198"/>
      <c r="T33" s="201"/>
      <c r="U33" s="202"/>
      <c r="V33" s="201"/>
      <c r="W33" s="342"/>
    </row>
    <row r="34" spans="1:23" s="19" customFormat="1" ht="17.100000000000001" customHeight="1">
      <c r="A34" s="555" t="s">
        <v>47</v>
      </c>
      <c r="B34" s="556"/>
      <c r="C34" s="556"/>
      <c r="D34" s="556"/>
      <c r="E34" s="556"/>
      <c r="F34" s="556"/>
      <c r="G34" s="556"/>
      <c r="H34" s="556"/>
      <c r="I34" s="556"/>
      <c r="J34" s="556"/>
      <c r="K34" s="556"/>
      <c r="L34" s="556"/>
      <c r="M34" s="556"/>
      <c r="N34" s="535" t="s">
        <v>87</v>
      </c>
      <c r="O34" s="535"/>
      <c r="P34" s="535"/>
      <c r="Q34" s="535"/>
      <c r="R34" s="535"/>
      <c r="S34" s="535"/>
      <c r="T34" s="535"/>
      <c r="U34" s="535"/>
      <c r="V34" s="535"/>
      <c r="W34" s="536"/>
    </row>
    <row r="35" spans="1:23" s="19" customFormat="1" ht="16.5" customHeight="1">
      <c r="A35" s="557" t="s">
        <v>182</v>
      </c>
      <c r="B35" s="558"/>
      <c r="C35" s="558"/>
      <c r="D35" s="558"/>
      <c r="E35" s="558"/>
      <c r="F35" s="558"/>
      <c r="G35" s="558"/>
      <c r="H35" s="558"/>
      <c r="I35" s="558"/>
      <c r="J35" s="558"/>
      <c r="K35" s="558"/>
      <c r="L35" s="558"/>
      <c r="M35" s="559"/>
      <c r="N35" s="435">
        <f>sheet1!N35</f>
        <v>0</v>
      </c>
      <c r="O35" s="566"/>
      <c r="P35" s="566"/>
      <c r="Q35" s="566"/>
      <c r="R35" s="566"/>
      <c r="S35" s="566"/>
      <c r="T35" s="566"/>
      <c r="U35" s="566"/>
      <c r="V35" s="566"/>
      <c r="W35" s="567"/>
    </row>
    <row r="36" spans="1:23" s="19" customFormat="1" ht="17.100000000000001" customHeight="1">
      <c r="A36" s="560"/>
      <c r="B36" s="561"/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2"/>
      <c r="N36" s="568"/>
      <c r="O36" s="569"/>
      <c r="P36" s="569"/>
      <c r="Q36" s="569"/>
      <c r="R36" s="569"/>
      <c r="S36" s="569"/>
      <c r="T36" s="569"/>
      <c r="U36" s="569"/>
      <c r="V36" s="569"/>
      <c r="W36" s="570"/>
    </row>
    <row r="37" spans="1:23" s="19" customFormat="1" ht="17.100000000000001" customHeight="1">
      <c r="A37" s="560"/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2"/>
      <c r="N37" s="571"/>
      <c r="O37" s="572"/>
      <c r="P37" s="572"/>
      <c r="Q37" s="572"/>
      <c r="R37" s="572"/>
      <c r="S37" s="572"/>
      <c r="T37" s="572"/>
      <c r="U37" s="572"/>
      <c r="V37" s="572"/>
      <c r="W37" s="573"/>
    </row>
    <row r="38" spans="1:23" s="19" customFormat="1" ht="15" customHeight="1">
      <c r="A38" s="560"/>
      <c r="B38" s="561"/>
      <c r="C38" s="561"/>
      <c r="D38" s="561"/>
      <c r="E38" s="561"/>
      <c r="F38" s="561"/>
      <c r="G38" s="561"/>
      <c r="H38" s="561"/>
      <c r="I38" s="561"/>
      <c r="J38" s="561"/>
      <c r="K38" s="561"/>
      <c r="L38" s="561"/>
      <c r="M38" s="562"/>
      <c r="N38" s="574"/>
      <c r="O38" s="575"/>
      <c r="P38" s="575"/>
      <c r="Q38" s="575"/>
      <c r="R38" s="575"/>
      <c r="S38" s="575"/>
      <c r="T38" s="575"/>
      <c r="U38" s="575"/>
      <c r="V38" s="575"/>
      <c r="W38" s="576"/>
    </row>
    <row r="39" spans="1:23" s="19" customFormat="1" ht="15" customHeight="1">
      <c r="A39" s="560"/>
      <c r="B39" s="561"/>
      <c r="C39" s="561"/>
      <c r="D39" s="561"/>
      <c r="E39" s="561"/>
      <c r="F39" s="561"/>
      <c r="G39" s="561"/>
      <c r="H39" s="561"/>
      <c r="I39" s="561"/>
      <c r="J39" s="561"/>
      <c r="K39" s="561"/>
      <c r="L39" s="561"/>
      <c r="M39" s="562"/>
      <c r="N39" s="574"/>
      <c r="O39" s="575"/>
      <c r="P39" s="575"/>
      <c r="Q39" s="575"/>
      <c r="R39" s="575"/>
      <c r="S39" s="575"/>
      <c r="T39" s="575"/>
      <c r="U39" s="575"/>
      <c r="V39" s="575"/>
      <c r="W39" s="576"/>
    </row>
    <row r="40" spans="1:23" s="19" customFormat="1" ht="33.75" customHeight="1">
      <c r="A40" s="563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5"/>
      <c r="N40" s="577"/>
      <c r="O40" s="578"/>
      <c r="P40" s="578"/>
      <c r="Q40" s="578"/>
      <c r="R40" s="578"/>
      <c r="S40" s="578"/>
      <c r="T40" s="578"/>
      <c r="U40" s="578"/>
      <c r="V40" s="578"/>
      <c r="W40" s="579"/>
    </row>
    <row r="41" spans="1:23" s="19" customFormat="1" ht="18" customHeight="1">
      <c r="A41" s="434" t="s">
        <v>201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3" s="19" customFormat="1" ht="15" customHeight="1">
      <c r="A42" s="432" t="s">
        <v>83</v>
      </c>
      <c r="B42" s="433"/>
      <c r="C42" s="242" t="s">
        <v>84</v>
      </c>
      <c r="D42" s="193"/>
      <c r="E42" s="193"/>
      <c r="F42" s="193"/>
      <c r="G42" s="193"/>
      <c r="H42" s="242" t="s">
        <v>135</v>
      </c>
      <c r="I42" s="193"/>
      <c r="J42" s="193"/>
      <c r="K42" s="418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3" s="19" customFormat="1" ht="15.75" customHeight="1">
      <c r="A43" s="432"/>
      <c r="B43" s="433"/>
      <c r="C43" s="244"/>
      <c r="D43" s="245"/>
      <c r="E43" s="245"/>
      <c r="F43" s="245"/>
      <c r="G43" s="245"/>
      <c r="H43" s="244"/>
      <c r="I43" s="245"/>
      <c r="J43" s="245"/>
      <c r="K43" s="44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3" s="19" customFormat="1" ht="24.95" customHeight="1">
      <c r="A44" s="170" t="s">
        <v>43</v>
      </c>
      <c r="B44" s="171"/>
      <c r="C44" s="172" t="str">
        <f>sheet1!C44</f>
        <v>-</v>
      </c>
      <c r="D44" s="172"/>
      <c r="E44" s="172"/>
      <c r="F44" s="172"/>
      <c r="G44" s="172"/>
      <c r="H44" s="224" t="s">
        <v>136</v>
      </c>
      <c r="I44" s="225"/>
      <c r="J44" s="225"/>
      <c r="K44" s="226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3" s="19" customFormat="1" ht="24.95" customHeight="1">
      <c r="A45" s="179" t="s">
        <v>60</v>
      </c>
      <c r="B45" s="180"/>
      <c r="C45" s="181" t="str">
        <f>sheet1!C45</f>
        <v>_</v>
      </c>
      <c r="D45" s="181"/>
      <c r="E45" s="181"/>
      <c r="F45" s="181"/>
      <c r="G45" s="181"/>
      <c r="H45" s="227"/>
      <c r="I45" s="228"/>
      <c r="J45" s="228"/>
      <c r="K45" s="229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</row>
    <row r="46" spans="1:23" s="19" customFormat="1" ht="24.95" customHeight="1">
      <c r="A46" s="179" t="s">
        <v>61</v>
      </c>
      <c r="B46" s="180"/>
      <c r="C46" s="181" t="str">
        <f>sheet1!C46</f>
        <v>_</v>
      </c>
      <c r="D46" s="181"/>
      <c r="E46" s="181"/>
      <c r="F46" s="181"/>
      <c r="G46" s="181"/>
      <c r="H46" s="227"/>
      <c r="I46" s="228"/>
      <c r="J46" s="228"/>
      <c r="K46" s="229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3" s="19" customFormat="1" ht="24.95" customHeight="1" thickBot="1">
      <c r="A47" s="175" t="s">
        <v>62</v>
      </c>
      <c r="B47" s="176"/>
      <c r="C47" s="177" t="str">
        <f>sheet1!C47</f>
        <v>_</v>
      </c>
      <c r="D47" s="177"/>
      <c r="E47" s="177"/>
      <c r="F47" s="177"/>
      <c r="G47" s="177"/>
      <c r="H47" s="230"/>
      <c r="I47" s="231"/>
      <c r="J47" s="231"/>
      <c r="K47" s="232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3" s="19" customFormat="1" ht="12.95" customHeight="1">
      <c r="A48" s="431" t="s">
        <v>181</v>
      </c>
      <c r="B48" s="431"/>
      <c r="C48" s="431"/>
      <c r="D48" s="431"/>
      <c r="E48" s="431"/>
      <c r="F48" s="431"/>
      <c r="G48" s="20"/>
      <c r="H48" s="20"/>
      <c r="I48" s="20"/>
      <c r="J48" s="169" t="s">
        <v>50</v>
      </c>
      <c r="K48" s="169"/>
      <c r="L48" s="169"/>
      <c r="M48" s="169"/>
      <c r="N48" s="169"/>
      <c r="O48" s="169"/>
      <c r="P48" s="58"/>
      <c r="Q48" s="58"/>
      <c r="R48" s="58"/>
      <c r="S48" s="174" t="s">
        <v>51</v>
      </c>
      <c r="T48" s="174"/>
      <c r="U48" s="174"/>
      <c r="V48" s="174"/>
      <c r="W48" s="174"/>
    </row>
    <row r="49" spans="1:23" s="2" customFormat="1" ht="12.75" thickBo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>
      <c r="A50" s="258" t="s">
        <v>226</v>
      </c>
      <c r="B50" s="259"/>
      <c r="C50" s="259"/>
      <c r="D50" s="259"/>
      <c r="E50" s="259"/>
      <c r="F50" s="259"/>
      <c r="G50" s="259"/>
      <c r="H50" s="259"/>
      <c r="I50" s="259"/>
      <c r="J50" s="259"/>
      <c r="K50" s="259"/>
      <c r="L50" s="259"/>
      <c r="M50" s="259"/>
      <c r="N50" s="259"/>
      <c r="O50" s="259"/>
      <c r="P50" s="259"/>
      <c r="Q50" s="259"/>
      <c r="R50" s="259"/>
      <c r="S50" s="259"/>
      <c r="T50" s="259"/>
      <c r="U50" s="259"/>
      <c r="V50" s="259"/>
      <c r="W50" s="260"/>
    </row>
    <row r="51" spans="1:23" ht="14.25" thickBot="1">
      <c r="A51" s="261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3"/>
    </row>
    <row r="52" spans="1:23" ht="24.95" customHeight="1" thickBot="1">
      <c r="A52" s="264" t="s">
        <v>227</v>
      </c>
      <c r="B52" s="265"/>
      <c r="C52" s="266" t="s">
        <v>146</v>
      </c>
      <c r="D52" s="267"/>
      <c r="E52" s="267" t="s">
        <v>229</v>
      </c>
      <c r="F52" s="267"/>
      <c r="G52" s="267" t="s">
        <v>230</v>
      </c>
      <c r="H52" s="267"/>
      <c r="I52" s="267" t="s">
        <v>231</v>
      </c>
      <c r="J52" s="267"/>
      <c r="K52" s="267" t="s">
        <v>232</v>
      </c>
      <c r="L52" s="268"/>
      <c r="M52" s="269" t="s">
        <v>233</v>
      </c>
      <c r="N52" s="270"/>
      <c r="O52" s="270"/>
      <c r="P52" s="270"/>
      <c r="Q52" s="270"/>
      <c r="R52" s="270"/>
      <c r="S52" s="270"/>
      <c r="T52" s="270"/>
      <c r="U52" s="270"/>
      <c r="V52" s="270"/>
      <c r="W52" s="271"/>
    </row>
    <row r="53" spans="1:23" ht="24.95" customHeight="1">
      <c r="A53" s="552"/>
      <c r="B53" s="553"/>
      <c r="C53" s="554"/>
      <c r="D53" s="182"/>
      <c r="E53" s="182"/>
      <c r="F53" s="182"/>
      <c r="G53" s="182"/>
      <c r="H53" s="182"/>
      <c r="I53" s="182"/>
      <c r="J53" s="182"/>
      <c r="K53" s="182"/>
      <c r="L53" s="471"/>
      <c r="M53" s="472"/>
      <c r="N53" s="473"/>
      <c r="O53" s="473"/>
      <c r="P53" s="473"/>
      <c r="Q53" s="473"/>
      <c r="R53" s="473"/>
      <c r="S53" s="473"/>
      <c r="T53" s="473"/>
      <c r="U53" s="473"/>
      <c r="V53" s="473"/>
      <c r="W53" s="474"/>
    </row>
    <row r="54" spans="1:23" ht="24.95" customHeight="1">
      <c r="A54" s="153"/>
      <c r="B54" s="154"/>
      <c r="C54" s="155"/>
      <c r="D54" s="156"/>
      <c r="E54" s="156"/>
      <c r="F54" s="156"/>
      <c r="G54" s="156"/>
      <c r="H54" s="156"/>
      <c r="I54" s="156"/>
      <c r="J54" s="156"/>
      <c r="K54" s="156"/>
      <c r="L54" s="157"/>
      <c r="M54" s="158"/>
      <c r="N54" s="159"/>
      <c r="O54" s="159"/>
      <c r="P54" s="159"/>
      <c r="Q54" s="159"/>
      <c r="R54" s="159"/>
      <c r="S54" s="159"/>
      <c r="T54" s="159"/>
      <c r="U54" s="159"/>
      <c r="V54" s="159"/>
      <c r="W54" s="160"/>
    </row>
    <row r="55" spans="1:23" ht="24.95" customHeight="1">
      <c r="A55" s="153"/>
      <c r="B55" s="154"/>
      <c r="C55" s="155"/>
      <c r="D55" s="156"/>
      <c r="E55" s="156"/>
      <c r="F55" s="156"/>
      <c r="G55" s="156"/>
      <c r="H55" s="156"/>
      <c r="I55" s="156"/>
      <c r="J55" s="156"/>
      <c r="K55" s="156"/>
      <c r="L55" s="157"/>
      <c r="M55" s="158"/>
      <c r="N55" s="159"/>
      <c r="O55" s="159"/>
      <c r="P55" s="159"/>
      <c r="Q55" s="159"/>
      <c r="R55" s="159"/>
      <c r="S55" s="159"/>
      <c r="T55" s="159"/>
      <c r="U55" s="159"/>
      <c r="V55" s="159"/>
      <c r="W55" s="160"/>
    </row>
    <row r="56" spans="1:23" ht="24.95" customHeight="1">
      <c r="A56" s="153"/>
      <c r="B56" s="154"/>
      <c r="C56" s="155"/>
      <c r="D56" s="156"/>
      <c r="E56" s="156"/>
      <c r="F56" s="156"/>
      <c r="G56" s="156"/>
      <c r="H56" s="156"/>
      <c r="I56" s="156"/>
      <c r="J56" s="156"/>
      <c r="K56" s="156"/>
      <c r="L56" s="157"/>
      <c r="M56" s="158"/>
      <c r="N56" s="159"/>
      <c r="O56" s="159"/>
      <c r="P56" s="159"/>
      <c r="Q56" s="159"/>
      <c r="R56" s="159"/>
      <c r="S56" s="159"/>
      <c r="T56" s="159"/>
      <c r="U56" s="159"/>
      <c r="V56" s="159"/>
      <c r="W56" s="160"/>
    </row>
    <row r="57" spans="1:23" ht="24.95" customHeight="1">
      <c r="A57" s="153"/>
      <c r="B57" s="154"/>
      <c r="C57" s="155"/>
      <c r="D57" s="156"/>
      <c r="E57" s="156"/>
      <c r="F57" s="156"/>
      <c r="G57" s="156"/>
      <c r="H57" s="156"/>
      <c r="I57" s="156"/>
      <c r="J57" s="156"/>
      <c r="K57" s="156"/>
      <c r="L57" s="157"/>
      <c r="M57" s="158"/>
      <c r="N57" s="159"/>
      <c r="O57" s="159"/>
      <c r="P57" s="159"/>
      <c r="Q57" s="159"/>
      <c r="R57" s="159"/>
      <c r="S57" s="159"/>
      <c r="T57" s="159"/>
      <c r="U57" s="159"/>
      <c r="V57" s="159"/>
      <c r="W57" s="160"/>
    </row>
    <row r="58" spans="1:23" ht="24.95" customHeight="1">
      <c r="A58" s="153"/>
      <c r="B58" s="154"/>
      <c r="C58" s="155"/>
      <c r="D58" s="156"/>
      <c r="E58" s="156"/>
      <c r="F58" s="156"/>
      <c r="G58" s="156"/>
      <c r="H58" s="156"/>
      <c r="I58" s="156"/>
      <c r="J58" s="156"/>
      <c r="K58" s="156"/>
      <c r="L58" s="157"/>
      <c r="M58" s="158"/>
      <c r="N58" s="159"/>
      <c r="O58" s="159"/>
      <c r="P58" s="159"/>
      <c r="Q58" s="159"/>
      <c r="R58" s="159"/>
      <c r="S58" s="159"/>
      <c r="T58" s="159"/>
      <c r="U58" s="159"/>
      <c r="V58" s="159"/>
      <c r="W58" s="160"/>
    </row>
    <row r="59" spans="1:23" ht="24.95" customHeight="1">
      <c r="A59" s="153"/>
      <c r="B59" s="154"/>
      <c r="C59" s="155"/>
      <c r="D59" s="156"/>
      <c r="E59" s="156"/>
      <c r="F59" s="156"/>
      <c r="G59" s="156"/>
      <c r="H59" s="156"/>
      <c r="I59" s="156"/>
      <c r="J59" s="156"/>
      <c r="K59" s="156"/>
      <c r="L59" s="157"/>
      <c r="M59" s="158"/>
      <c r="N59" s="159"/>
      <c r="O59" s="159"/>
      <c r="P59" s="159"/>
      <c r="Q59" s="159"/>
      <c r="R59" s="159"/>
      <c r="S59" s="159"/>
      <c r="T59" s="159"/>
      <c r="U59" s="159"/>
      <c r="V59" s="159"/>
      <c r="W59" s="160"/>
    </row>
    <row r="60" spans="1:23" ht="24.95" customHeight="1">
      <c r="A60" s="153"/>
      <c r="B60" s="154"/>
      <c r="C60" s="155"/>
      <c r="D60" s="156"/>
      <c r="E60" s="156"/>
      <c r="F60" s="156"/>
      <c r="G60" s="156"/>
      <c r="H60" s="156"/>
      <c r="I60" s="156"/>
      <c r="J60" s="156"/>
      <c r="K60" s="156"/>
      <c r="L60" s="157"/>
      <c r="M60" s="158"/>
      <c r="N60" s="159"/>
      <c r="O60" s="159"/>
      <c r="P60" s="159"/>
      <c r="Q60" s="159"/>
      <c r="R60" s="159"/>
      <c r="S60" s="159"/>
      <c r="T60" s="159"/>
      <c r="U60" s="159"/>
      <c r="V60" s="159"/>
      <c r="W60" s="160"/>
    </row>
    <row r="61" spans="1:23" ht="24.95" customHeight="1">
      <c r="A61" s="153"/>
      <c r="B61" s="154"/>
      <c r="C61" s="155"/>
      <c r="D61" s="156"/>
      <c r="E61" s="156"/>
      <c r="F61" s="156"/>
      <c r="G61" s="156"/>
      <c r="H61" s="156"/>
      <c r="I61" s="156"/>
      <c r="J61" s="156"/>
      <c r="K61" s="156"/>
      <c r="L61" s="157"/>
      <c r="M61" s="158"/>
      <c r="N61" s="159"/>
      <c r="O61" s="159"/>
      <c r="P61" s="159"/>
      <c r="Q61" s="159"/>
      <c r="R61" s="159"/>
      <c r="S61" s="159"/>
      <c r="T61" s="159"/>
      <c r="U61" s="159"/>
      <c r="V61" s="159"/>
      <c r="W61" s="160"/>
    </row>
    <row r="62" spans="1:23" ht="24.95" customHeight="1">
      <c r="A62" s="153"/>
      <c r="B62" s="154"/>
      <c r="C62" s="155"/>
      <c r="D62" s="156"/>
      <c r="E62" s="156"/>
      <c r="F62" s="156"/>
      <c r="G62" s="156"/>
      <c r="H62" s="156"/>
      <c r="I62" s="156"/>
      <c r="J62" s="156"/>
      <c r="K62" s="156"/>
      <c r="L62" s="157"/>
      <c r="M62" s="158"/>
      <c r="N62" s="159"/>
      <c r="O62" s="159"/>
      <c r="P62" s="159"/>
      <c r="Q62" s="159"/>
      <c r="R62" s="159"/>
      <c r="S62" s="159"/>
      <c r="T62" s="159"/>
      <c r="U62" s="159"/>
      <c r="V62" s="159"/>
      <c r="W62" s="160"/>
    </row>
    <row r="63" spans="1:23" ht="24.95" customHeight="1">
      <c r="A63" s="153"/>
      <c r="B63" s="154"/>
      <c r="C63" s="155"/>
      <c r="D63" s="156"/>
      <c r="E63" s="156"/>
      <c r="F63" s="156"/>
      <c r="G63" s="156"/>
      <c r="H63" s="156"/>
      <c r="I63" s="156"/>
      <c r="J63" s="156"/>
      <c r="K63" s="156"/>
      <c r="L63" s="157"/>
      <c r="M63" s="158"/>
      <c r="N63" s="159"/>
      <c r="O63" s="159"/>
      <c r="P63" s="159"/>
      <c r="Q63" s="159"/>
      <c r="R63" s="159"/>
      <c r="S63" s="159"/>
      <c r="T63" s="159"/>
      <c r="U63" s="159"/>
      <c r="V63" s="159"/>
      <c r="W63" s="160"/>
    </row>
    <row r="64" spans="1:23" ht="24.95" customHeight="1">
      <c r="A64" s="153"/>
      <c r="B64" s="154"/>
      <c r="C64" s="155"/>
      <c r="D64" s="156"/>
      <c r="E64" s="156"/>
      <c r="F64" s="156"/>
      <c r="G64" s="156"/>
      <c r="H64" s="156"/>
      <c r="I64" s="156"/>
      <c r="J64" s="156"/>
      <c r="K64" s="156"/>
      <c r="L64" s="157"/>
      <c r="M64" s="158"/>
      <c r="N64" s="159"/>
      <c r="O64" s="159"/>
      <c r="P64" s="159"/>
      <c r="Q64" s="159"/>
      <c r="R64" s="159"/>
      <c r="S64" s="159"/>
      <c r="T64" s="159"/>
      <c r="U64" s="159"/>
      <c r="V64" s="159"/>
      <c r="W64" s="160"/>
    </row>
    <row r="65" spans="1:23" ht="24.95" customHeight="1">
      <c r="A65" s="153"/>
      <c r="B65" s="154"/>
      <c r="C65" s="155"/>
      <c r="D65" s="156"/>
      <c r="E65" s="156"/>
      <c r="F65" s="156"/>
      <c r="G65" s="156"/>
      <c r="H65" s="156"/>
      <c r="I65" s="156"/>
      <c r="J65" s="156"/>
      <c r="K65" s="156"/>
      <c r="L65" s="157"/>
      <c r="M65" s="158"/>
      <c r="N65" s="159"/>
      <c r="O65" s="159"/>
      <c r="P65" s="159"/>
      <c r="Q65" s="159"/>
      <c r="R65" s="159"/>
      <c r="S65" s="159"/>
      <c r="T65" s="159"/>
      <c r="U65" s="159"/>
      <c r="V65" s="159"/>
      <c r="W65" s="160"/>
    </row>
    <row r="66" spans="1:23" ht="24.95" customHeight="1">
      <c r="A66" s="153"/>
      <c r="B66" s="154"/>
      <c r="C66" s="155"/>
      <c r="D66" s="156"/>
      <c r="E66" s="156"/>
      <c r="F66" s="156"/>
      <c r="G66" s="156"/>
      <c r="H66" s="156"/>
      <c r="I66" s="156"/>
      <c r="J66" s="156"/>
      <c r="K66" s="156"/>
      <c r="L66" s="157"/>
      <c r="M66" s="158"/>
      <c r="N66" s="159"/>
      <c r="O66" s="159"/>
      <c r="P66" s="159"/>
      <c r="Q66" s="159"/>
      <c r="R66" s="159"/>
      <c r="S66" s="159"/>
      <c r="T66" s="159"/>
      <c r="U66" s="159"/>
      <c r="V66" s="159"/>
      <c r="W66" s="160"/>
    </row>
    <row r="67" spans="1:23" ht="24.95" customHeight="1">
      <c r="A67" s="153"/>
      <c r="B67" s="154"/>
      <c r="C67" s="155"/>
      <c r="D67" s="156"/>
      <c r="E67" s="156"/>
      <c r="F67" s="156"/>
      <c r="G67" s="156"/>
      <c r="H67" s="156"/>
      <c r="I67" s="156"/>
      <c r="J67" s="156"/>
      <c r="K67" s="156"/>
      <c r="L67" s="157"/>
      <c r="M67" s="158"/>
      <c r="N67" s="159"/>
      <c r="O67" s="159"/>
      <c r="P67" s="159"/>
      <c r="Q67" s="159"/>
      <c r="R67" s="159"/>
      <c r="S67" s="159"/>
      <c r="T67" s="159"/>
      <c r="U67" s="159"/>
      <c r="V67" s="159"/>
      <c r="W67" s="160"/>
    </row>
    <row r="68" spans="1:23" ht="24.95" customHeight="1">
      <c r="A68" s="115"/>
      <c r="B68" s="116"/>
      <c r="C68" s="155"/>
      <c r="D68" s="156"/>
      <c r="E68" s="156"/>
      <c r="F68" s="156"/>
      <c r="G68" s="156"/>
      <c r="H68" s="156"/>
      <c r="I68" s="156"/>
      <c r="J68" s="156"/>
      <c r="K68" s="156"/>
      <c r="L68" s="157"/>
      <c r="M68" s="117"/>
      <c r="N68" s="118"/>
      <c r="O68" s="118"/>
      <c r="P68" s="118"/>
      <c r="Q68" s="118"/>
      <c r="R68" s="118"/>
      <c r="S68" s="118"/>
      <c r="T68" s="118"/>
      <c r="U68" s="118"/>
      <c r="V68" s="118"/>
      <c r="W68" s="119"/>
    </row>
    <row r="69" spans="1:23" ht="24.95" customHeight="1">
      <c r="A69" s="153"/>
      <c r="B69" s="154"/>
      <c r="C69" s="155"/>
      <c r="D69" s="156"/>
      <c r="E69" s="156"/>
      <c r="F69" s="156"/>
      <c r="G69" s="156"/>
      <c r="H69" s="156"/>
      <c r="I69" s="156"/>
      <c r="J69" s="156"/>
      <c r="K69" s="156"/>
      <c r="L69" s="157"/>
      <c r="M69" s="158"/>
      <c r="N69" s="159"/>
      <c r="O69" s="159"/>
      <c r="P69" s="159"/>
      <c r="Q69" s="159"/>
      <c r="R69" s="159"/>
      <c r="S69" s="159"/>
      <c r="T69" s="159"/>
      <c r="U69" s="159"/>
      <c r="V69" s="159"/>
      <c r="W69" s="160"/>
    </row>
    <row r="70" spans="1:23" ht="24.95" customHeight="1" thickBot="1">
      <c r="A70" s="161"/>
      <c r="B70" s="162"/>
      <c r="C70" s="163"/>
      <c r="D70" s="164"/>
      <c r="E70" s="164"/>
      <c r="F70" s="164"/>
      <c r="G70" s="164"/>
      <c r="H70" s="164"/>
      <c r="I70" s="164"/>
      <c r="J70" s="164"/>
      <c r="K70" s="164"/>
      <c r="L70" s="165"/>
      <c r="M70" s="166"/>
      <c r="N70" s="167"/>
      <c r="O70" s="167"/>
      <c r="P70" s="167"/>
      <c r="Q70" s="167"/>
      <c r="R70" s="167"/>
      <c r="S70" s="167"/>
      <c r="T70" s="167"/>
      <c r="U70" s="167"/>
      <c r="V70" s="167"/>
      <c r="W70" s="168"/>
    </row>
    <row r="71" spans="1:23" ht="14.25" thickBot="1">
      <c r="A71" s="126"/>
      <c r="B71" s="127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27"/>
      <c r="S71" s="127"/>
      <c r="T71" s="127"/>
      <c r="U71" s="127"/>
      <c r="V71" s="108"/>
      <c r="W71" s="109"/>
    </row>
    <row r="72" spans="1:23" s="2" customFormat="1" ht="12" customHeight="1">
      <c r="A72" s="523" t="s">
        <v>147</v>
      </c>
      <c r="B72" s="524"/>
      <c r="C72" s="524"/>
      <c r="D72" s="524"/>
      <c r="E72" s="524"/>
      <c r="F72" s="524"/>
      <c r="G72" s="524"/>
      <c r="H72" s="524"/>
      <c r="I72" s="524"/>
      <c r="J72" s="524"/>
      <c r="K72" s="524"/>
      <c r="L72" s="524"/>
      <c r="M72" s="524"/>
      <c r="N72" s="524"/>
      <c r="O72" s="524"/>
      <c r="P72" s="524"/>
      <c r="Q72" s="524"/>
      <c r="R72" s="524"/>
      <c r="S72" s="524"/>
      <c r="T72" s="524"/>
      <c r="U72" s="524"/>
      <c r="V72" s="524"/>
      <c r="W72" s="525"/>
    </row>
    <row r="73" spans="1:23" s="2" customFormat="1" ht="33.75" customHeight="1">
      <c r="A73" s="526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8"/>
    </row>
    <row r="74" spans="1:23" s="2" customFormat="1" ht="13.5" customHeight="1">
      <c r="A74" s="512" t="s">
        <v>148</v>
      </c>
      <c r="B74" s="509"/>
      <c r="C74" s="509" t="s">
        <v>149</v>
      </c>
      <c r="D74" s="509"/>
      <c r="E74" s="509" t="s">
        <v>150</v>
      </c>
      <c r="F74" s="509"/>
      <c r="G74" s="509"/>
      <c r="H74" s="509"/>
      <c r="I74" s="509"/>
      <c r="J74" s="509"/>
      <c r="K74" s="509"/>
      <c r="L74" s="509"/>
      <c r="M74" s="509"/>
      <c r="N74" s="509"/>
      <c r="O74" s="509"/>
      <c r="P74" s="509"/>
      <c r="Q74" s="509"/>
      <c r="R74" s="509" t="s">
        <v>151</v>
      </c>
      <c r="S74" s="509"/>
      <c r="T74" s="509" t="s">
        <v>152</v>
      </c>
      <c r="U74" s="509"/>
      <c r="V74" s="509" t="s">
        <v>153</v>
      </c>
      <c r="W74" s="511"/>
    </row>
    <row r="75" spans="1:23" s="2" customFormat="1" ht="13.5" customHeight="1">
      <c r="A75" s="512"/>
      <c r="B75" s="509"/>
      <c r="C75" s="509"/>
      <c r="D75" s="509"/>
      <c r="E75" s="509"/>
      <c r="F75" s="509"/>
      <c r="G75" s="509"/>
      <c r="H75" s="509"/>
      <c r="I75" s="509"/>
      <c r="J75" s="509"/>
      <c r="K75" s="509"/>
      <c r="L75" s="509"/>
      <c r="M75" s="509"/>
      <c r="N75" s="509"/>
      <c r="O75" s="509"/>
      <c r="P75" s="509"/>
      <c r="Q75" s="509"/>
      <c r="R75" s="509"/>
      <c r="S75" s="509"/>
      <c r="T75" s="509"/>
      <c r="U75" s="509"/>
      <c r="V75" s="509"/>
      <c r="W75" s="511"/>
    </row>
    <row r="76" spans="1:23">
      <c r="A76" s="545" t="s">
        <v>154</v>
      </c>
      <c r="B76" s="546"/>
      <c r="C76" s="508" t="s">
        <v>155</v>
      </c>
      <c r="D76" s="508"/>
      <c r="E76" s="508" t="s">
        <v>156</v>
      </c>
      <c r="F76" s="508"/>
      <c r="G76" s="508"/>
      <c r="H76" s="508"/>
      <c r="I76" s="508"/>
      <c r="J76" s="508"/>
      <c r="K76" s="508"/>
      <c r="L76" s="508"/>
      <c r="M76" s="508"/>
      <c r="N76" s="508"/>
      <c r="O76" s="508"/>
      <c r="P76" s="508"/>
      <c r="Q76" s="508"/>
      <c r="R76" s="509" t="s">
        <v>157</v>
      </c>
      <c r="S76" s="509"/>
      <c r="T76" s="510"/>
      <c r="U76" s="510"/>
      <c r="V76" s="509" t="s">
        <v>158</v>
      </c>
      <c r="W76" s="511"/>
    </row>
    <row r="77" spans="1:23">
      <c r="A77" s="545"/>
      <c r="B77" s="546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9"/>
      <c r="S77" s="509"/>
      <c r="T77" s="510"/>
      <c r="U77" s="510"/>
      <c r="V77" s="509"/>
      <c r="W77" s="511"/>
    </row>
    <row r="78" spans="1:23" ht="13.5" customHeight="1">
      <c r="A78" s="512">
        <v>1</v>
      </c>
      <c r="B78" s="509"/>
      <c r="C78" s="508" t="s">
        <v>159</v>
      </c>
      <c r="D78" s="508"/>
      <c r="E78" s="544" t="s">
        <v>183</v>
      </c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09" t="s">
        <v>160</v>
      </c>
      <c r="S78" s="509"/>
      <c r="T78" s="510"/>
      <c r="U78" s="510"/>
      <c r="V78" s="509" t="s">
        <v>161</v>
      </c>
      <c r="W78" s="511"/>
    </row>
    <row r="79" spans="1:23" ht="13.5" customHeight="1">
      <c r="A79" s="512"/>
      <c r="B79" s="509"/>
      <c r="C79" s="508"/>
      <c r="D79" s="508"/>
      <c r="E79" s="544"/>
      <c r="F79" s="544"/>
      <c r="G79" s="544"/>
      <c r="H79" s="544"/>
      <c r="I79" s="544"/>
      <c r="J79" s="544"/>
      <c r="K79" s="544"/>
      <c r="L79" s="544"/>
      <c r="M79" s="544"/>
      <c r="N79" s="544"/>
      <c r="O79" s="544"/>
      <c r="P79" s="544"/>
      <c r="Q79" s="544"/>
      <c r="R79" s="509"/>
      <c r="S79" s="509"/>
      <c r="T79" s="510"/>
      <c r="U79" s="510"/>
      <c r="V79" s="509"/>
      <c r="W79" s="511"/>
    </row>
    <row r="80" spans="1:23">
      <c r="A80" s="512"/>
      <c r="B80" s="509"/>
      <c r="C80" s="508"/>
      <c r="D80" s="508"/>
      <c r="E80" s="544"/>
      <c r="F80" s="544"/>
      <c r="G80" s="544"/>
      <c r="H80" s="544"/>
      <c r="I80" s="544"/>
      <c r="J80" s="544"/>
      <c r="K80" s="544"/>
      <c r="L80" s="544"/>
      <c r="M80" s="544"/>
      <c r="N80" s="544"/>
      <c r="O80" s="544"/>
      <c r="P80" s="544"/>
      <c r="Q80" s="544"/>
      <c r="R80" s="509"/>
      <c r="S80" s="509"/>
      <c r="T80" s="510"/>
      <c r="U80" s="510"/>
      <c r="V80" s="509"/>
      <c r="W80" s="511"/>
    </row>
    <row r="81" spans="1:23">
      <c r="A81" s="512">
        <v>2</v>
      </c>
      <c r="B81" s="509"/>
      <c r="C81" s="508"/>
      <c r="D81" s="508"/>
      <c r="E81" s="542"/>
      <c r="F81" s="542"/>
      <c r="G81" s="542"/>
      <c r="H81" s="542"/>
      <c r="I81" s="542"/>
      <c r="J81" s="542"/>
      <c r="K81" s="542"/>
      <c r="L81" s="542"/>
      <c r="M81" s="542"/>
      <c r="N81" s="542"/>
      <c r="O81" s="542"/>
      <c r="P81" s="542"/>
      <c r="Q81" s="542"/>
      <c r="R81" s="509"/>
      <c r="S81" s="509"/>
      <c r="T81" s="509"/>
      <c r="U81" s="509"/>
      <c r="V81" s="542"/>
      <c r="W81" s="543"/>
    </row>
    <row r="82" spans="1:23">
      <c r="A82" s="512"/>
      <c r="B82" s="509"/>
      <c r="C82" s="508"/>
      <c r="D82" s="508"/>
      <c r="E82" s="542"/>
      <c r="F82" s="542"/>
      <c r="G82" s="542"/>
      <c r="H82" s="542"/>
      <c r="I82" s="542"/>
      <c r="J82" s="542"/>
      <c r="K82" s="542"/>
      <c r="L82" s="542"/>
      <c r="M82" s="542"/>
      <c r="N82" s="542"/>
      <c r="O82" s="542"/>
      <c r="P82" s="542"/>
      <c r="Q82" s="542"/>
      <c r="R82" s="509"/>
      <c r="S82" s="509"/>
      <c r="T82" s="509"/>
      <c r="U82" s="509"/>
      <c r="V82" s="542"/>
      <c r="W82" s="543"/>
    </row>
    <row r="83" spans="1:23">
      <c r="A83" s="512">
        <v>3</v>
      </c>
      <c r="B83" s="509"/>
      <c r="C83" s="508"/>
      <c r="D83" s="508"/>
      <c r="E83" s="542"/>
      <c r="F83" s="542"/>
      <c r="G83" s="542"/>
      <c r="H83" s="542"/>
      <c r="I83" s="542"/>
      <c r="J83" s="542"/>
      <c r="K83" s="542"/>
      <c r="L83" s="542"/>
      <c r="M83" s="542"/>
      <c r="N83" s="542"/>
      <c r="O83" s="542"/>
      <c r="P83" s="542"/>
      <c r="Q83" s="542"/>
      <c r="R83" s="509"/>
      <c r="S83" s="509"/>
      <c r="T83" s="509"/>
      <c r="U83" s="509"/>
      <c r="V83" s="542"/>
      <c r="W83" s="543"/>
    </row>
    <row r="84" spans="1:23">
      <c r="A84" s="512"/>
      <c r="B84" s="509"/>
      <c r="C84" s="508"/>
      <c r="D84" s="508"/>
      <c r="E84" s="542"/>
      <c r="F84" s="542"/>
      <c r="G84" s="542"/>
      <c r="H84" s="542"/>
      <c r="I84" s="542"/>
      <c r="J84" s="542"/>
      <c r="K84" s="542"/>
      <c r="L84" s="542"/>
      <c r="M84" s="542"/>
      <c r="N84" s="542"/>
      <c r="O84" s="542"/>
      <c r="P84" s="542"/>
      <c r="Q84" s="542"/>
      <c r="R84" s="509"/>
      <c r="S84" s="509"/>
      <c r="T84" s="509"/>
      <c r="U84" s="509"/>
      <c r="V84" s="542"/>
      <c r="W84" s="543"/>
    </row>
    <row r="85" spans="1:23">
      <c r="A85" s="512">
        <v>4</v>
      </c>
      <c r="B85" s="509"/>
      <c r="C85" s="508"/>
      <c r="D85" s="508"/>
      <c r="E85" s="542"/>
      <c r="F85" s="542"/>
      <c r="G85" s="542"/>
      <c r="H85" s="542"/>
      <c r="I85" s="542"/>
      <c r="J85" s="542"/>
      <c r="K85" s="542"/>
      <c r="L85" s="542"/>
      <c r="M85" s="542"/>
      <c r="N85" s="542"/>
      <c r="O85" s="542"/>
      <c r="P85" s="542"/>
      <c r="Q85" s="542"/>
      <c r="R85" s="509"/>
      <c r="S85" s="509"/>
      <c r="T85" s="509"/>
      <c r="U85" s="509"/>
      <c r="V85" s="542"/>
      <c r="W85" s="543"/>
    </row>
    <row r="86" spans="1:23">
      <c r="A86" s="512"/>
      <c r="B86" s="509"/>
      <c r="C86" s="508"/>
      <c r="D86" s="508"/>
      <c r="E86" s="542"/>
      <c r="F86" s="542"/>
      <c r="G86" s="542"/>
      <c r="H86" s="542"/>
      <c r="I86" s="542"/>
      <c r="J86" s="542"/>
      <c r="K86" s="542"/>
      <c r="L86" s="542"/>
      <c r="M86" s="542"/>
      <c r="N86" s="542"/>
      <c r="O86" s="542"/>
      <c r="P86" s="542"/>
      <c r="Q86" s="542"/>
      <c r="R86" s="509"/>
      <c r="S86" s="509"/>
      <c r="T86" s="509"/>
      <c r="U86" s="509"/>
      <c r="V86" s="542"/>
      <c r="W86" s="543"/>
    </row>
    <row r="87" spans="1:23">
      <c r="A87" s="512">
        <v>5</v>
      </c>
      <c r="B87" s="509"/>
      <c r="C87" s="508"/>
      <c r="D87" s="508"/>
      <c r="E87" s="542"/>
      <c r="F87" s="542"/>
      <c r="G87" s="542"/>
      <c r="H87" s="542"/>
      <c r="I87" s="542"/>
      <c r="J87" s="542"/>
      <c r="K87" s="542"/>
      <c r="L87" s="542"/>
      <c r="M87" s="542"/>
      <c r="N87" s="542"/>
      <c r="O87" s="542"/>
      <c r="P87" s="542"/>
      <c r="Q87" s="542"/>
      <c r="R87" s="509"/>
      <c r="S87" s="509"/>
      <c r="T87" s="509"/>
      <c r="U87" s="509"/>
      <c r="V87" s="542"/>
      <c r="W87" s="543"/>
    </row>
    <row r="88" spans="1:23" ht="14.25" thickBot="1">
      <c r="A88" s="547"/>
      <c r="B88" s="548"/>
      <c r="C88" s="549"/>
      <c r="D88" s="549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48"/>
      <c r="S88" s="548"/>
      <c r="T88" s="548"/>
      <c r="U88" s="548"/>
      <c r="V88" s="550"/>
      <c r="W88" s="551"/>
    </row>
  </sheetData>
  <mergeCells count="367">
    <mergeCell ref="A72:W73"/>
    <mergeCell ref="A74:B75"/>
    <mergeCell ref="C74:D75"/>
    <mergeCell ref="E74:Q75"/>
    <mergeCell ref="R74:S75"/>
    <mergeCell ref="T74:U75"/>
    <mergeCell ref="V74:W75"/>
    <mergeCell ref="K69:L69"/>
    <mergeCell ref="M69:W69"/>
    <mergeCell ref="A70:B70"/>
    <mergeCell ref="C70:D70"/>
    <mergeCell ref="E70:F70"/>
    <mergeCell ref="G70:H70"/>
    <mergeCell ref="I70:J70"/>
    <mergeCell ref="K70:L70"/>
    <mergeCell ref="M70:W70"/>
    <mergeCell ref="T87:U88"/>
    <mergeCell ref="V87:W88"/>
    <mergeCell ref="A85:B86"/>
    <mergeCell ref="C85:D86"/>
    <mergeCell ref="E85:Q86"/>
    <mergeCell ref="R85:S86"/>
    <mergeCell ref="T85:U86"/>
    <mergeCell ref="V85:W86"/>
    <mergeCell ref="A83:B84"/>
    <mergeCell ref="C83:D84"/>
    <mergeCell ref="E83:Q84"/>
    <mergeCell ref="R83:S84"/>
    <mergeCell ref="T83:U84"/>
    <mergeCell ref="V83:W84"/>
    <mergeCell ref="A87:B88"/>
    <mergeCell ref="C87:D88"/>
    <mergeCell ref="E87:Q88"/>
    <mergeCell ref="R87:S88"/>
    <mergeCell ref="T81:U82"/>
    <mergeCell ref="V81:W82"/>
    <mergeCell ref="A78:B80"/>
    <mergeCell ref="C78:D80"/>
    <mergeCell ref="E78:Q80"/>
    <mergeCell ref="R78:S80"/>
    <mergeCell ref="T78:U80"/>
    <mergeCell ref="V78:W80"/>
    <mergeCell ref="A76:B77"/>
    <mergeCell ref="C76:D77"/>
    <mergeCell ref="E76:Q77"/>
    <mergeCell ref="R76:S77"/>
    <mergeCell ref="T76:U77"/>
    <mergeCell ref="V76:W77"/>
    <mergeCell ref="A81:B82"/>
    <mergeCell ref="C81:D82"/>
    <mergeCell ref="E81:Q82"/>
    <mergeCell ref="R81:S82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M66:W66"/>
    <mergeCell ref="A67:B67"/>
    <mergeCell ref="C67:D67"/>
    <mergeCell ref="E67:F67"/>
    <mergeCell ref="G67:H67"/>
    <mergeCell ref="I67:J67"/>
    <mergeCell ref="K67:L67"/>
    <mergeCell ref="M67:W67"/>
    <mergeCell ref="A66:B66"/>
    <mergeCell ref="C66:D66"/>
    <mergeCell ref="E66:F66"/>
    <mergeCell ref="G66:H66"/>
    <mergeCell ref="I66:J66"/>
    <mergeCell ref="K66:L66"/>
    <mergeCell ref="M64:W64"/>
    <mergeCell ref="A65:B65"/>
    <mergeCell ref="C65:D65"/>
    <mergeCell ref="E65:F65"/>
    <mergeCell ref="G65:H65"/>
    <mergeCell ref="I65:J65"/>
    <mergeCell ref="K65:L65"/>
    <mergeCell ref="M65:W65"/>
    <mergeCell ref="A64:B64"/>
    <mergeCell ref="C64:D64"/>
    <mergeCell ref="E64:F64"/>
    <mergeCell ref="G64:H64"/>
    <mergeCell ref="I64:J64"/>
    <mergeCell ref="K64:L64"/>
    <mergeCell ref="M62:W62"/>
    <mergeCell ref="A63:B63"/>
    <mergeCell ref="C63:D63"/>
    <mergeCell ref="E63:F63"/>
    <mergeCell ref="G63:H63"/>
    <mergeCell ref="I63:J63"/>
    <mergeCell ref="K63:L63"/>
    <mergeCell ref="M63:W63"/>
    <mergeCell ref="A62:B62"/>
    <mergeCell ref="C62:D62"/>
    <mergeCell ref="E62:F62"/>
    <mergeCell ref="G62:H62"/>
    <mergeCell ref="I62:J62"/>
    <mergeCell ref="K62:L62"/>
    <mergeCell ref="M60:W60"/>
    <mergeCell ref="A61:B61"/>
    <mergeCell ref="C61:D61"/>
    <mergeCell ref="E61:F61"/>
    <mergeCell ref="G61:H61"/>
    <mergeCell ref="I61:J61"/>
    <mergeCell ref="K61:L61"/>
    <mergeCell ref="M61:W61"/>
    <mergeCell ref="A60:B60"/>
    <mergeCell ref="C60:D60"/>
    <mergeCell ref="E60:F60"/>
    <mergeCell ref="G60:H60"/>
    <mergeCell ref="I60:J60"/>
    <mergeCell ref="K60:L60"/>
    <mergeCell ref="M58:W58"/>
    <mergeCell ref="A59:B59"/>
    <mergeCell ref="C59:D59"/>
    <mergeCell ref="E59:F59"/>
    <mergeCell ref="G59:H59"/>
    <mergeCell ref="I59:J59"/>
    <mergeCell ref="K59:L59"/>
    <mergeCell ref="M59:W59"/>
    <mergeCell ref="A58:B58"/>
    <mergeCell ref="C58:D58"/>
    <mergeCell ref="E58:F58"/>
    <mergeCell ref="G58:H58"/>
    <mergeCell ref="I58:J58"/>
    <mergeCell ref="K58:L58"/>
    <mergeCell ref="M56:W56"/>
    <mergeCell ref="A57:B57"/>
    <mergeCell ref="C57:D57"/>
    <mergeCell ref="E57:F57"/>
    <mergeCell ref="G57:H57"/>
    <mergeCell ref="I57:J57"/>
    <mergeCell ref="K57:L57"/>
    <mergeCell ref="M57:W57"/>
    <mergeCell ref="A56:B56"/>
    <mergeCell ref="C56:D56"/>
    <mergeCell ref="E56:F56"/>
    <mergeCell ref="G56:H56"/>
    <mergeCell ref="I56:J56"/>
    <mergeCell ref="K56:L56"/>
    <mergeCell ref="M54:W54"/>
    <mergeCell ref="A55:B55"/>
    <mergeCell ref="C55:D55"/>
    <mergeCell ref="E55:F55"/>
    <mergeCell ref="G55:H55"/>
    <mergeCell ref="I55:J55"/>
    <mergeCell ref="K55:L55"/>
    <mergeCell ref="M55:W55"/>
    <mergeCell ref="A54:B54"/>
    <mergeCell ref="C54:D54"/>
    <mergeCell ref="E54:F54"/>
    <mergeCell ref="G54:H54"/>
    <mergeCell ref="I54:J54"/>
    <mergeCell ref="K54:L54"/>
    <mergeCell ref="M52:W52"/>
    <mergeCell ref="A53:B53"/>
    <mergeCell ref="C53:D53"/>
    <mergeCell ref="E53:F53"/>
    <mergeCell ref="G53:H53"/>
    <mergeCell ref="I53:J53"/>
    <mergeCell ref="K53:L53"/>
    <mergeCell ref="M53:W53"/>
    <mergeCell ref="A48:F48"/>
    <mergeCell ref="J48:O48"/>
    <mergeCell ref="S48:W48"/>
    <mergeCell ref="A50:W51"/>
    <mergeCell ref="A52:B52"/>
    <mergeCell ref="C52:D52"/>
    <mergeCell ref="E52:F52"/>
    <mergeCell ref="G52:H52"/>
    <mergeCell ref="I52:J52"/>
    <mergeCell ref="K52:L52"/>
    <mergeCell ref="N42:W43"/>
    <mergeCell ref="A44:B44"/>
    <mergeCell ref="C44:G44"/>
    <mergeCell ref="H44:K47"/>
    <mergeCell ref="L44:M44"/>
    <mergeCell ref="N44:W47"/>
    <mergeCell ref="A34:M34"/>
    <mergeCell ref="N34:W34"/>
    <mergeCell ref="A35:M40"/>
    <mergeCell ref="N35:W36"/>
    <mergeCell ref="N37:W40"/>
    <mergeCell ref="A41:W41"/>
    <mergeCell ref="A45:B45"/>
    <mergeCell ref="C45:G45"/>
    <mergeCell ref="L45:M46"/>
    <mergeCell ref="A46:B46"/>
    <mergeCell ref="C46:G46"/>
    <mergeCell ref="A47:B47"/>
    <mergeCell ref="C47:G47"/>
    <mergeCell ref="L47:M47"/>
    <mergeCell ref="A42:B43"/>
    <mergeCell ref="C42:G43"/>
    <mergeCell ref="H42:K43"/>
    <mergeCell ref="L42:M43"/>
    <mergeCell ref="N32:R33"/>
    <mergeCell ref="S32:S33"/>
    <mergeCell ref="T32:U33"/>
    <mergeCell ref="V32:W33"/>
    <mergeCell ref="E33:F33"/>
    <mergeCell ref="G33:H33"/>
    <mergeCell ref="I33:J33"/>
    <mergeCell ref="K33:M33"/>
    <mergeCell ref="A31:C31"/>
    <mergeCell ref="D31:G31"/>
    <mergeCell ref="H31:M31"/>
    <mergeCell ref="R31:T31"/>
    <mergeCell ref="U31:W31"/>
    <mergeCell ref="A32:D33"/>
    <mergeCell ref="E32:F32"/>
    <mergeCell ref="G32:H32"/>
    <mergeCell ref="I32:J32"/>
    <mergeCell ref="K32:M32"/>
    <mergeCell ref="R29:T29"/>
    <mergeCell ref="U29:W29"/>
    <mergeCell ref="E30:I30"/>
    <mergeCell ref="R30:T30"/>
    <mergeCell ref="U30:W30"/>
    <mergeCell ref="N27:N31"/>
    <mergeCell ref="Q27:Q31"/>
    <mergeCell ref="R27:T27"/>
    <mergeCell ref="U27:W27"/>
    <mergeCell ref="R28:T28"/>
    <mergeCell ref="U28:W28"/>
    <mergeCell ref="Q25:Q26"/>
    <mergeCell ref="R25:S25"/>
    <mergeCell ref="U25:V25"/>
    <mergeCell ref="D26:F26"/>
    <mergeCell ref="I26:K26"/>
    <mergeCell ref="O26:P27"/>
    <mergeCell ref="R26:T26"/>
    <mergeCell ref="U26:W26"/>
    <mergeCell ref="D27:F27"/>
    <mergeCell ref="I27:K27"/>
    <mergeCell ref="A25:B27"/>
    <mergeCell ref="D25:F25"/>
    <mergeCell ref="G25:H27"/>
    <mergeCell ref="I25:K25"/>
    <mergeCell ref="L25:L27"/>
    <mergeCell ref="N25:N26"/>
    <mergeCell ref="O25:P25"/>
    <mergeCell ref="A28:B30"/>
    <mergeCell ref="C28:D30"/>
    <mergeCell ref="E28:I28"/>
    <mergeCell ref="J28:M28"/>
    <mergeCell ref="O28:P31"/>
    <mergeCell ref="E29:I29"/>
    <mergeCell ref="A22:C22"/>
    <mergeCell ref="D22:Q22"/>
    <mergeCell ref="T22:V22"/>
    <mergeCell ref="A23:C23"/>
    <mergeCell ref="D23:Q23"/>
    <mergeCell ref="S23:S24"/>
    <mergeCell ref="U20:W20"/>
    <mergeCell ref="A21:C21"/>
    <mergeCell ref="S21:T21"/>
    <mergeCell ref="U21:W21"/>
    <mergeCell ref="N21:Q21"/>
    <mergeCell ref="J21:M21"/>
    <mergeCell ref="D21:I21"/>
    <mergeCell ref="W23:W24"/>
    <mergeCell ref="D24:F24"/>
    <mergeCell ref="T24:V24"/>
    <mergeCell ref="D20:I20"/>
    <mergeCell ref="N20:Q20"/>
    <mergeCell ref="J20:M20"/>
    <mergeCell ref="S19:W19"/>
    <mergeCell ref="A20:C20"/>
    <mergeCell ref="S20:T20"/>
    <mergeCell ref="S17:W17"/>
    <mergeCell ref="S18:W18"/>
    <mergeCell ref="D17:E17"/>
    <mergeCell ref="F17:H17"/>
    <mergeCell ref="N18:Q18"/>
    <mergeCell ref="F18:H18"/>
    <mergeCell ref="A16:B18"/>
    <mergeCell ref="A19:C19"/>
    <mergeCell ref="R16:R17"/>
    <mergeCell ref="N16:Q16"/>
    <mergeCell ref="N17:Q17"/>
    <mergeCell ref="F19:H19"/>
    <mergeCell ref="D18:E18"/>
    <mergeCell ref="D19:E19"/>
    <mergeCell ref="N19:Q19"/>
    <mergeCell ref="J17:M17"/>
    <mergeCell ref="J18:M18"/>
    <mergeCell ref="J19:M19"/>
    <mergeCell ref="J16:M16"/>
    <mergeCell ref="F16:H16"/>
    <mergeCell ref="S12:T13"/>
    <mergeCell ref="U12:W13"/>
    <mergeCell ref="S14:T14"/>
    <mergeCell ref="U14:W14"/>
    <mergeCell ref="S15:T16"/>
    <mergeCell ref="U15:W16"/>
    <mergeCell ref="A11:E11"/>
    <mergeCell ref="H11:J11"/>
    <mergeCell ref="R11:T11"/>
    <mergeCell ref="U11:W11"/>
    <mergeCell ref="B12:C13"/>
    <mergeCell ref="F12:F13"/>
    <mergeCell ref="J15:Q15"/>
    <mergeCell ref="P12:R13"/>
    <mergeCell ref="L12:N13"/>
    <mergeCell ref="H12:J13"/>
    <mergeCell ref="A9:E9"/>
    <mergeCell ref="F9:L9"/>
    <mergeCell ref="M9:R9"/>
    <mergeCell ref="A10:C10"/>
    <mergeCell ref="D10:E10"/>
    <mergeCell ref="F10:G11"/>
    <mergeCell ref="H10:I10"/>
    <mergeCell ref="K10:M11"/>
    <mergeCell ref="N10:Q11"/>
    <mergeCell ref="R10:W10"/>
    <mergeCell ref="M7:M8"/>
    <mergeCell ref="N7:O8"/>
    <mergeCell ref="P7:P8"/>
    <mergeCell ref="Q7:R8"/>
    <mergeCell ref="S7:T7"/>
    <mergeCell ref="U7:W7"/>
    <mergeCell ref="S8:T9"/>
    <mergeCell ref="U8:W9"/>
    <mergeCell ref="S6:T6"/>
    <mergeCell ref="U6:W6"/>
    <mergeCell ref="M6:O6"/>
    <mergeCell ref="P6:R6"/>
    <mergeCell ref="A7:A8"/>
    <mergeCell ref="B7:C8"/>
    <mergeCell ref="D7:D8"/>
    <mergeCell ref="E7:F8"/>
    <mergeCell ref="G7:G8"/>
    <mergeCell ref="H7:I8"/>
    <mergeCell ref="J7:J8"/>
    <mergeCell ref="K7:L8"/>
    <mergeCell ref="A6:C6"/>
    <mergeCell ref="D6:F6"/>
    <mergeCell ref="G6:I6"/>
    <mergeCell ref="J6:L6"/>
    <mergeCell ref="P4:U5"/>
    <mergeCell ref="V4:W5"/>
    <mergeCell ref="A1:H2"/>
    <mergeCell ref="I1:J2"/>
    <mergeCell ref="K1:M2"/>
    <mergeCell ref="N1:O2"/>
    <mergeCell ref="P1:W2"/>
    <mergeCell ref="A3:C3"/>
    <mergeCell ref="D3:G3"/>
    <mergeCell ref="N3:O3"/>
    <mergeCell ref="P3:R3"/>
    <mergeCell ref="S3:W3"/>
    <mergeCell ref="A5:B5"/>
    <mergeCell ref="C5:G5"/>
    <mergeCell ref="H5:I5"/>
    <mergeCell ref="J5:M5"/>
    <mergeCell ref="A4:B4"/>
    <mergeCell ref="C4:G4"/>
    <mergeCell ref="H4:I4"/>
    <mergeCell ref="J4:M4"/>
    <mergeCell ref="N4:O5"/>
  </mergeCells>
  <phoneticPr fontId="3" type="noConversion"/>
  <conditionalFormatting sqref="N21 J21">
    <cfRule type="cellIs" dxfId="1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9.9978637043366805E-2"/>
  </sheetPr>
  <dimension ref="A1:AA88"/>
  <sheetViews>
    <sheetView showGridLines="0" showZeros="0" view="pageBreakPreview" zoomScale="85" zoomScaleNormal="100" zoomScaleSheetLayoutView="85" workbookViewId="0">
      <selection activeCell="Z12" sqref="Z12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371" t="s">
        <v>223</v>
      </c>
      <c r="J1" s="372"/>
      <c r="K1" s="365">
        <f>sheet1!K1</f>
        <v>0</v>
      </c>
      <c r="L1" s="366"/>
      <c r="M1" s="367"/>
      <c r="N1" s="343" t="s">
        <v>6</v>
      </c>
      <c r="O1" s="344"/>
      <c r="P1" s="347" t="str">
        <f>sheet1!P1</f>
        <v>000000-00-00-00</v>
      </c>
      <c r="Q1" s="347"/>
      <c r="R1" s="347"/>
      <c r="S1" s="347"/>
      <c r="T1" s="347"/>
      <c r="U1" s="347"/>
      <c r="V1" s="347"/>
      <c r="W1" s="348"/>
    </row>
    <row r="2" spans="1:27" ht="20.100000000000001" customHeight="1" thickBot="1">
      <c r="A2" s="362"/>
      <c r="B2" s="349"/>
      <c r="C2" s="349"/>
      <c r="D2" s="349"/>
      <c r="E2" s="349"/>
      <c r="F2" s="349"/>
      <c r="G2" s="349"/>
      <c r="H2" s="349"/>
      <c r="I2" s="373"/>
      <c r="J2" s="374"/>
      <c r="K2" s="368"/>
      <c r="L2" s="369"/>
      <c r="M2" s="370"/>
      <c r="N2" s="345"/>
      <c r="O2" s="346"/>
      <c r="P2" s="349"/>
      <c r="Q2" s="349"/>
      <c r="R2" s="349"/>
      <c r="S2" s="349"/>
      <c r="T2" s="349"/>
      <c r="U2" s="349"/>
      <c r="V2" s="349"/>
      <c r="W2" s="350"/>
    </row>
    <row r="3" spans="1:27" s="2" customFormat="1" ht="15" customHeight="1">
      <c r="A3" s="351" t="s">
        <v>0</v>
      </c>
      <c r="B3" s="352"/>
      <c r="C3" s="352"/>
      <c r="D3" s="360">
        <f>sheet1!D3</f>
        <v>0</v>
      </c>
      <c r="E3" s="360"/>
      <c r="F3" s="360"/>
      <c r="G3" s="360"/>
      <c r="H3" s="1"/>
      <c r="I3" s="1"/>
      <c r="J3" s="1"/>
      <c r="K3" s="1"/>
      <c r="L3" s="1"/>
      <c r="M3" s="1"/>
      <c r="N3" s="353" t="s">
        <v>1</v>
      </c>
      <c r="O3" s="354"/>
      <c r="P3" s="355">
        <f>sheet1!P3</f>
        <v>0</v>
      </c>
      <c r="Q3" s="352"/>
      <c r="R3" s="356"/>
      <c r="S3" s="357" t="s">
        <v>121</v>
      </c>
      <c r="T3" s="358"/>
      <c r="U3" s="358"/>
      <c r="V3" s="358"/>
      <c r="W3" s="359"/>
    </row>
    <row r="4" spans="1:27" s="2" customFormat="1" ht="24.95" customHeight="1">
      <c r="A4" s="363" t="s">
        <v>2</v>
      </c>
      <c r="B4" s="364"/>
      <c r="C4" s="375">
        <f>sheet1!C4</f>
        <v>0</v>
      </c>
      <c r="D4" s="376"/>
      <c r="E4" s="376"/>
      <c r="F4" s="376"/>
      <c r="G4" s="377"/>
      <c r="H4" s="364" t="s">
        <v>3</v>
      </c>
      <c r="I4" s="364"/>
      <c r="J4" s="378">
        <f>sheet1!J4</f>
        <v>0</v>
      </c>
      <c r="K4" s="379"/>
      <c r="L4" s="379"/>
      <c r="M4" s="379"/>
      <c r="N4" s="445" t="s">
        <v>52</v>
      </c>
      <c r="O4" s="396"/>
      <c r="P4" s="384">
        <f>sheet1!P4</f>
        <v>0</v>
      </c>
      <c r="Q4" s="385"/>
      <c r="R4" s="385"/>
      <c r="S4" s="385"/>
      <c r="T4" s="385"/>
      <c r="U4" s="385"/>
      <c r="V4" s="380" t="str">
        <f>QRCode(sheet1!P1)</f>
        <v/>
      </c>
      <c r="W4" s="381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>
      <c r="A5" s="460" t="s">
        <v>4</v>
      </c>
      <c r="B5" s="461"/>
      <c r="C5" s="462">
        <f>sheet1!C5</f>
        <v>0</v>
      </c>
      <c r="D5" s="463"/>
      <c r="E5" s="463"/>
      <c r="F5" s="463"/>
      <c r="G5" s="464"/>
      <c r="H5" s="465" t="s">
        <v>5</v>
      </c>
      <c r="I5" s="466"/>
      <c r="J5" s="467">
        <f>sheet1!J5</f>
        <v>0</v>
      </c>
      <c r="K5" s="468"/>
      <c r="L5" s="468"/>
      <c r="M5" s="468"/>
      <c r="N5" s="345"/>
      <c r="O5" s="346"/>
      <c r="P5" s="386"/>
      <c r="Q5" s="387"/>
      <c r="R5" s="387"/>
      <c r="S5" s="387"/>
      <c r="T5" s="387"/>
      <c r="U5" s="387"/>
      <c r="V5" s="382"/>
      <c r="W5" s="383"/>
      <c r="Y5" s="2" t="s">
        <v>240</v>
      </c>
      <c r="Z5" s="2" t="str">
        <f>MID(Y5,9,1)</f>
        <v>0</v>
      </c>
      <c r="AA5" s="2">
        <f>Z5*1</f>
        <v>0</v>
      </c>
    </row>
    <row r="6" spans="1:27" s="2" customFormat="1" ht="16.5" customHeight="1">
      <c r="A6" s="469" t="s">
        <v>7</v>
      </c>
      <c r="B6" s="388"/>
      <c r="C6" s="388"/>
      <c r="D6" s="458" t="s">
        <v>7</v>
      </c>
      <c r="E6" s="388"/>
      <c r="F6" s="470"/>
      <c r="G6" s="388" t="s">
        <v>7</v>
      </c>
      <c r="H6" s="388"/>
      <c r="I6" s="388"/>
      <c r="J6" s="458" t="s">
        <v>7</v>
      </c>
      <c r="K6" s="388"/>
      <c r="L6" s="470"/>
      <c r="M6" s="388" t="s">
        <v>7</v>
      </c>
      <c r="N6" s="388"/>
      <c r="O6" s="388"/>
      <c r="P6" s="458" t="s">
        <v>7</v>
      </c>
      <c r="Q6" s="388"/>
      <c r="R6" s="459"/>
      <c r="S6" s="456" t="s">
        <v>169</v>
      </c>
      <c r="T6" s="457"/>
      <c r="U6" s="453">
        <f>sheet1!U6</f>
        <v>0</v>
      </c>
      <c r="V6" s="454"/>
      <c r="W6" s="455"/>
    </row>
    <row r="7" spans="1:27" s="2" customFormat="1" ht="16.5" customHeight="1">
      <c r="A7" s="409" t="s">
        <v>64</v>
      </c>
      <c r="B7" s="300" t="s">
        <v>65</v>
      </c>
      <c r="C7" s="301"/>
      <c r="D7" s="304" t="s">
        <v>66</v>
      </c>
      <c r="E7" s="300" t="s">
        <v>67</v>
      </c>
      <c r="F7" s="420"/>
      <c r="G7" s="422" t="s">
        <v>68</v>
      </c>
      <c r="H7" s="300" t="s">
        <v>69</v>
      </c>
      <c r="I7" s="301"/>
      <c r="J7" s="304" t="s">
        <v>70</v>
      </c>
      <c r="K7" s="300" t="s">
        <v>86</v>
      </c>
      <c r="L7" s="420"/>
      <c r="M7" s="422" t="s">
        <v>71</v>
      </c>
      <c r="N7" s="300" t="s">
        <v>90</v>
      </c>
      <c r="O7" s="301"/>
      <c r="P7" s="304" t="s">
        <v>88</v>
      </c>
      <c r="Q7" s="300" t="s">
        <v>57</v>
      </c>
      <c r="R7" s="400"/>
      <c r="S7" s="395" t="s">
        <v>171</v>
      </c>
      <c r="T7" s="396"/>
      <c r="U7" s="397">
        <f>sheet1!U7</f>
        <v>0</v>
      </c>
      <c r="V7" s="398"/>
      <c r="W7" s="399"/>
    </row>
    <row r="8" spans="1:27" s="2" customFormat="1" ht="16.5" customHeight="1">
      <c r="A8" s="410"/>
      <c r="B8" s="302"/>
      <c r="C8" s="303"/>
      <c r="D8" s="305"/>
      <c r="E8" s="302"/>
      <c r="F8" s="421"/>
      <c r="G8" s="423"/>
      <c r="H8" s="302"/>
      <c r="I8" s="303"/>
      <c r="J8" s="305"/>
      <c r="K8" s="302"/>
      <c r="L8" s="421"/>
      <c r="M8" s="423"/>
      <c r="N8" s="302"/>
      <c r="O8" s="303"/>
      <c r="P8" s="305"/>
      <c r="Q8" s="302"/>
      <c r="R8" s="401"/>
      <c r="S8" s="417" t="s">
        <v>139</v>
      </c>
      <c r="T8" s="418"/>
      <c r="U8" s="389"/>
      <c r="V8" s="390"/>
      <c r="W8" s="391"/>
    </row>
    <row r="9" spans="1:27" s="2" customFormat="1" ht="16.5" customHeight="1" thickBot="1">
      <c r="A9" s="319" t="s">
        <v>172</v>
      </c>
      <c r="B9" s="320"/>
      <c r="C9" s="320"/>
      <c r="D9" s="320"/>
      <c r="E9" s="320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275"/>
      <c r="T9" s="419"/>
      <c r="U9" s="392"/>
      <c r="V9" s="393"/>
      <c r="W9" s="394"/>
    </row>
    <row r="10" spans="1:27" s="4" customFormat="1" ht="15" customHeight="1">
      <c r="A10" s="238" t="s">
        <v>9</v>
      </c>
      <c r="B10" s="278"/>
      <c r="C10" s="278"/>
      <c r="D10" s="446" t="s">
        <v>144</v>
      </c>
      <c r="E10" s="446"/>
      <c r="F10" s="284" t="s">
        <v>175</v>
      </c>
      <c r="G10" s="285"/>
      <c r="H10" s="429" t="s">
        <v>140</v>
      </c>
      <c r="I10" s="430"/>
      <c r="J10" s="74"/>
      <c r="K10" s="414" t="s">
        <v>176</v>
      </c>
      <c r="L10" s="415"/>
      <c r="M10" s="415"/>
      <c r="N10" s="447" t="s">
        <v>177</v>
      </c>
      <c r="O10" s="448"/>
      <c r="P10" s="448"/>
      <c r="Q10" s="449"/>
      <c r="R10" s="287" t="s">
        <v>162</v>
      </c>
      <c r="S10" s="288"/>
      <c r="T10" s="288"/>
      <c r="U10" s="288"/>
      <c r="V10" s="288"/>
      <c r="W10" s="289"/>
    </row>
    <row r="11" spans="1:27" s="4" customFormat="1" ht="24" customHeight="1" thickBot="1">
      <c r="A11" s="424" t="s">
        <v>178</v>
      </c>
      <c r="B11" s="425"/>
      <c r="C11" s="425"/>
      <c r="D11" s="425"/>
      <c r="E11" s="405"/>
      <c r="F11" s="286"/>
      <c r="G11" s="286"/>
      <c r="H11" s="426"/>
      <c r="I11" s="427"/>
      <c r="J11" s="428"/>
      <c r="K11" s="416"/>
      <c r="L11" s="416"/>
      <c r="M11" s="416"/>
      <c r="N11" s="450"/>
      <c r="O11" s="451"/>
      <c r="P11" s="451"/>
      <c r="Q11" s="452"/>
      <c r="R11" s="290" t="s">
        <v>163</v>
      </c>
      <c r="S11" s="291"/>
      <c r="T11" s="291"/>
      <c r="U11" s="291" t="s">
        <v>164</v>
      </c>
      <c r="V11" s="291"/>
      <c r="W11" s="292"/>
    </row>
    <row r="12" spans="1:27" s="4" customFormat="1" ht="9.9499999999999993" customHeight="1">
      <c r="A12" s="148"/>
      <c r="B12" s="238"/>
      <c r="C12" s="239"/>
      <c r="D12" s="149"/>
      <c r="E12" s="140"/>
      <c r="F12" s="239"/>
      <c r="G12" s="149"/>
      <c r="H12" s="238"/>
      <c r="I12" s="278"/>
      <c r="J12" s="239"/>
      <c r="K12" s="134"/>
      <c r="L12" s="238"/>
      <c r="M12" s="278"/>
      <c r="N12" s="239"/>
      <c r="O12" s="133"/>
      <c r="P12" s="238"/>
      <c r="Q12" s="278"/>
      <c r="R12" s="239"/>
      <c r="S12" s="238" t="s">
        <v>10</v>
      </c>
      <c r="T12" s="299"/>
      <c r="U12" s="293" t="str">
        <f>sheet1!U12</f>
        <v>100℃±10℃</v>
      </c>
      <c r="V12" s="294"/>
      <c r="W12" s="295"/>
    </row>
    <row r="13" spans="1:27" s="4" customFormat="1" ht="9.9499999999999993" customHeight="1" thickBot="1">
      <c r="A13" s="148"/>
      <c r="B13" s="240"/>
      <c r="C13" s="241"/>
      <c r="D13" s="149"/>
      <c r="E13" s="142"/>
      <c r="F13" s="241"/>
      <c r="G13" s="149"/>
      <c r="H13" s="240"/>
      <c r="I13" s="654"/>
      <c r="J13" s="241"/>
      <c r="K13" s="5"/>
      <c r="L13" s="240"/>
      <c r="M13" s="654"/>
      <c r="N13" s="241"/>
      <c r="O13" s="6"/>
      <c r="P13" s="240"/>
      <c r="Q13" s="654"/>
      <c r="R13" s="241"/>
      <c r="S13" s="236"/>
      <c r="T13" s="237"/>
      <c r="U13" s="296"/>
      <c r="V13" s="297"/>
      <c r="W13" s="298"/>
    </row>
    <row r="14" spans="1:27" s="4" customFormat="1" ht="15" customHeight="1">
      <c r="A14" s="148"/>
      <c r="B14" s="141"/>
      <c r="C14" s="149"/>
      <c r="D14" s="149"/>
      <c r="E14" s="149"/>
      <c r="F14" s="6"/>
      <c r="G14" s="7"/>
      <c r="H14" s="7"/>
      <c r="I14" s="149"/>
      <c r="J14" s="148"/>
      <c r="K14" s="149"/>
      <c r="L14" s="149"/>
      <c r="M14" s="149"/>
      <c r="N14" s="140"/>
      <c r="O14" s="149"/>
      <c r="P14" s="149"/>
      <c r="Q14" s="145"/>
      <c r="R14" s="149"/>
      <c r="S14" s="306" t="s">
        <v>11</v>
      </c>
      <c r="T14" s="307"/>
      <c r="U14" s="411" t="str">
        <f>sheet1!U14</f>
        <v>40M</v>
      </c>
      <c r="V14" s="412"/>
      <c r="W14" s="413"/>
    </row>
    <row r="15" spans="1:27" s="4" customFormat="1" ht="20.100000000000001" customHeight="1" thickBot="1">
      <c r="A15" s="148"/>
      <c r="B15" s="145"/>
      <c r="C15" s="149"/>
      <c r="D15" s="149"/>
      <c r="E15" s="149"/>
      <c r="F15" s="146"/>
      <c r="H15" s="39"/>
      <c r="I15" s="39"/>
      <c r="J15" s="151"/>
      <c r="K15" s="39"/>
      <c r="L15" s="39"/>
      <c r="M15" s="39"/>
      <c r="N15" s="653" t="str">
        <f>sheet1!O16</f>
        <v>860℃±10℃</v>
      </c>
      <c r="O15" s="427"/>
      <c r="P15" s="427"/>
      <c r="Q15" s="475"/>
      <c r="R15" s="149"/>
      <c r="S15" s="234" t="s">
        <v>12</v>
      </c>
      <c r="T15" s="235"/>
      <c r="U15" s="402" t="str">
        <f>sheet1!U15</f>
        <v>60Hz</v>
      </c>
      <c r="V15" s="403"/>
      <c r="W15" s="404"/>
    </row>
    <row r="16" spans="1:27" s="4" customFormat="1" ht="20.100000000000001" customHeight="1" thickBot="1">
      <c r="A16" s="476" t="s">
        <v>13</v>
      </c>
      <c r="B16" s="477"/>
      <c r="C16" s="150"/>
      <c r="F16" s="661" t="str">
        <f>sheet1!G15</f>
        <v>930℃±10℃</v>
      </c>
      <c r="G16" s="662"/>
      <c r="H16" s="662"/>
      <c r="I16" s="662"/>
      <c r="J16" s="662"/>
      <c r="K16" s="662"/>
      <c r="L16" s="662"/>
      <c r="M16" s="152"/>
      <c r="N16" s="238" t="s">
        <v>15</v>
      </c>
      <c r="O16" s="278"/>
      <c r="P16" s="278"/>
      <c r="Q16" s="239"/>
      <c r="R16" s="656"/>
      <c r="S16" s="236"/>
      <c r="T16" s="237"/>
      <c r="U16" s="296"/>
      <c r="V16" s="297"/>
      <c r="W16" s="298"/>
    </row>
    <row r="17" spans="1:25" s="4" customFormat="1" ht="17.25" customHeight="1">
      <c r="A17" s="478"/>
      <c r="B17" s="479"/>
      <c r="C17" s="149"/>
      <c r="D17" s="655"/>
      <c r="E17" s="272"/>
      <c r="F17" s="238" t="s">
        <v>236</v>
      </c>
      <c r="G17" s="278"/>
      <c r="H17" s="278"/>
      <c r="I17" s="278"/>
      <c r="J17" s="236" t="s">
        <v>237</v>
      </c>
      <c r="K17" s="657"/>
      <c r="L17" s="657"/>
      <c r="M17" s="273"/>
      <c r="N17" s="236"/>
      <c r="O17" s="657"/>
      <c r="P17" s="657"/>
      <c r="Q17" s="273"/>
      <c r="R17" s="656"/>
      <c r="S17" s="282" t="s">
        <v>17</v>
      </c>
      <c r="T17" s="282"/>
      <c r="U17" s="282"/>
      <c r="V17" s="282"/>
      <c r="W17" s="283"/>
    </row>
    <row r="18" spans="1:25" s="4" customFormat="1" ht="17.25" customHeight="1" thickBot="1">
      <c r="A18" s="480"/>
      <c r="B18" s="481"/>
      <c r="C18" s="7"/>
      <c r="D18" s="275" t="s">
        <v>18</v>
      </c>
      <c r="E18" s="277"/>
      <c r="F18" s="275" t="s">
        <v>19</v>
      </c>
      <c r="G18" s="276"/>
      <c r="H18" s="276"/>
      <c r="I18" s="277"/>
      <c r="J18" s="275" t="s">
        <v>20</v>
      </c>
      <c r="K18" s="276"/>
      <c r="L18" s="276"/>
      <c r="M18" s="276"/>
      <c r="N18" s="275" t="s">
        <v>21</v>
      </c>
      <c r="O18" s="276"/>
      <c r="P18" s="276"/>
      <c r="Q18" s="277"/>
      <c r="R18" s="6"/>
      <c r="S18" s="183"/>
      <c r="T18" s="184"/>
      <c r="U18" s="184"/>
      <c r="V18" s="184"/>
      <c r="W18" s="185"/>
    </row>
    <row r="19" spans="1:25" s="4" customFormat="1" ht="17.25" customHeight="1">
      <c r="A19" s="492" t="s">
        <v>22</v>
      </c>
      <c r="B19" s="493"/>
      <c r="C19" s="196"/>
      <c r="D19" s="315" t="s">
        <v>23</v>
      </c>
      <c r="E19" s="246"/>
      <c r="F19" s="658" t="str">
        <f>sheet1!G19</f>
        <v>5Hr00M</v>
      </c>
      <c r="G19" s="659"/>
      <c r="H19" s="659"/>
      <c r="I19" s="660"/>
      <c r="J19" s="315" t="str">
        <f>sheet1!J19</f>
        <v>40M</v>
      </c>
      <c r="K19" s="245"/>
      <c r="L19" s="245"/>
      <c r="M19" s="245"/>
      <c r="N19" s="315" t="str">
        <f>sheet1!O19</f>
        <v>20M</v>
      </c>
      <c r="O19" s="245"/>
      <c r="P19" s="245"/>
      <c r="Q19" s="246"/>
      <c r="R19" s="6"/>
      <c r="S19" s="308" t="s">
        <v>109</v>
      </c>
      <c r="T19" s="309"/>
      <c r="U19" s="309"/>
      <c r="V19" s="309"/>
      <c r="W19" s="310"/>
    </row>
    <row r="20" spans="1:25" s="4" customFormat="1" ht="17.25" customHeight="1">
      <c r="A20" s="194" t="s">
        <v>24</v>
      </c>
      <c r="B20" s="500"/>
      <c r="C20" s="501"/>
      <c r="D20" s="482">
        <v>4.0000000000000001E-3</v>
      </c>
      <c r="E20" s="483"/>
      <c r="F20" s="626" t="str">
        <f>sheet1!G20</f>
        <v>1.25%</v>
      </c>
      <c r="G20" s="625"/>
      <c r="H20" s="625"/>
      <c r="I20" s="627"/>
      <c r="J20" s="626" t="str">
        <f>sheet1!J20</f>
        <v>0.80%</v>
      </c>
      <c r="K20" s="625"/>
      <c r="L20" s="625"/>
      <c r="M20" s="627"/>
      <c r="N20" s="625" t="str">
        <f>sheet1!O20</f>
        <v>0.70%</v>
      </c>
      <c r="O20" s="625"/>
      <c r="P20" s="625"/>
      <c r="Q20" s="627"/>
      <c r="R20" s="146"/>
      <c r="S20" s="183" t="s">
        <v>1</v>
      </c>
      <c r="T20" s="274"/>
      <c r="U20" s="314" t="s">
        <v>26</v>
      </c>
      <c r="V20" s="184"/>
      <c r="W20" s="185"/>
    </row>
    <row r="21" spans="1:25" s="4" customFormat="1" ht="17.25" customHeight="1">
      <c r="A21" s="194" t="s">
        <v>27</v>
      </c>
      <c r="B21" s="195"/>
      <c r="C21" s="196"/>
      <c r="D21" s="482" t="s">
        <v>28</v>
      </c>
      <c r="E21" s="483"/>
      <c r="F21" s="483"/>
      <c r="G21" s="483"/>
      <c r="H21" s="483"/>
      <c r="I21" s="486"/>
      <c r="J21" s="484" t="str">
        <f>sheet1!G21</f>
        <v>CUT</v>
      </c>
      <c r="K21" s="485"/>
      <c r="L21" s="485"/>
      <c r="M21" s="663"/>
      <c r="N21" s="279" t="str">
        <f>sheet1!M21</f>
        <v>CUT</v>
      </c>
      <c r="O21" s="280"/>
      <c r="P21" s="280"/>
      <c r="Q21" s="281"/>
      <c r="R21" s="147"/>
      <c r="S21" s="183" t="s">
        <v>29</v>
      </c>
      <c r="T21" s="274"/>
      <c r="U21" s="183"/>
      <c r="V21" s="184"/>
      <c r="W21" s="185"/>
    </row>
    <row r="22" spans="1:25" s="4" customFormat="1" ht="17.25" customHeight="1" thickBot="1">
      <c r="A22" s="194" t="s">
        <v>30</v>
      </c>
      <c r="B22" s="195"/>
      <c r="C22" s="196"/>
      <c r="D22" s="482" t="s">
        <v>31</v>
      </c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6"/>
      <c r="R22" s="12"/>
      <c r="S22" s="13"/>
      <c r="T22" s="193" t="str">
        <f>sheet1!T22</f>
        <v>180℃±5℃</v>
      </c>
      <c r="U22" s="193"/>
      <c r="V22" s="193"/>
      <c r="W22" s="14"/>
    </row>
    <row r="23" spans="1:25" s="4" customFormat="1" ht="17.25" customHeight="1" thickBot="1">
      <c r="A23" s="194" t="s">
        <v>32</v>
      </c>
      <c r="B23" s="195"/>
      <c r="C23" s="196"/>
      <c r="D23" s="319" t="s">
        <v>33</v>
      </c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1"/>
      <c r="R23" s="146"/>
      <c r="S23" s="186"/>
      <c r="T23" s="15"/>
      <c r="U23" s="16"/>
      <c r="V23" s="17"/>
      <c r="W23" s="318"/>
    </row>
    <row r="24" spans="1:25" s="4" customFormat="1" ht="17.25" customHeight="1">
      <c r="A24" s="37" t="s">
        <v>34</v>
      </c>
      <c r="B24" s="7"/>
      <c r="C24" s="38"/>
      <c r="D24" s="193"/>
      <c r="E24" s="193"/>
      <c r="F24" s="193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186"/>
      <c r="T24" s="275" t="str">
        <f>sheet1!T24</f>
        <v>2Hr00M</v>
      </c>
      <c r="U24" s="276"/>
      <c r="V24" s="277"/>
      <c r="W24" s="318"/>
    </row>
    <row r="25" spans="1:25" s="4" customFormat="1" ht="16.5" customHeight="1">
      <c r="A25" s="187" t="s">
        <v>63</v>
      </c>
      <c r="B25" s="188"/>
      <c r="C25" s="40" t="s">
        <v>36</v>
      </c>
      <c r="D25" s="222" t="s">
        <v>72</v>
      </c>
      <c r="E25" s="223"/>
      <c r="F25" s="223"/>
      <c r="G25" s="322" t="s">
        <v>35</v>
      </c>
      <c r="H25" s="188"/>
      <c r="I25" s="222" t="s">
        <v>72</v>
      </c>
      <c r="J25" s="223"/>
      <c r="K25" s="233"/>
      <c r="L25" s="215" t="s">
        <v>37</v>
      </c>
      <c r="M25" s="41" t="s">
        <v>38</v>
      </c>
      <c r="N25" s="218" t="s">
        <v>70</v>
      </c>
      <c r="O25" s="220" t="s">
        <v>7</v>
      </c>
      <c r="P25" s="221"/>
      <c r="Q25" s="218" t="s">
        <v>88</v>
      </c>
      <c r="R25" s="621" t="s">
        <v>46</v>
      </c>
      <c r="S25" s="622"/>
      <c r="T25" s="55" t="s">
        <v>7</v>
      </c>
      <c r="U25" s="623" t="s">
        <v>73</v>
      </c>
      <c r="V25" s="624"/>
      <c r="W25" s="46" t="s">
        <v>7</v>
      </c>
    </row>
    <row r="26" spans="1:25" s="19" customFormat="1" ht="16.5" customHeight="1">
      <c r="A26" s="189"/>
      <c r="B26" s="190"/>
      <c r="C26" s="18" t="s">
        <v>124</v>
      </c>
      <c r="D26" s="325" t="s">
        <v>132</v>
      </c>
      <c r="E26" s="326"/>
      <c r="F26" s="326"/>
      <c r="G26" s="323"/>
      <c r="H26" s="190"/>
      <c r="I26" s="325" t="s">
        <v>132</v>
      </c>
      <c r="J26" s="326"/>
      <c r="K26" s="326"/>
      <c r="L26" s="216"/>
      <c r="M26" s="42" t="s">
        <v>39</v>
      </c>
      <c r="N26" s="219"/>
      <c r="O26" s="442" t="s">
        <v>89</v>
      </c>
      <c r="P26" s="443"/>
      <c r="Q26" s="219"/>
      <c r="R26" s="211" t="s">
        <v>48</v>
      </c>
      <c r="S26" s="206"/>
      <c r="T26" s="206"/>
      <c r="U26" s="331" t="s">
        <v>48</v>
      </c>
      <c r="V26" s="332"/>
      <c r="W26" s="333"/>
    </row>
    <row r="27" spans="1:25" s="19" customFormat="1" ht="16.5" customHeight="1">
      <c r="A27" s="191"/>
      <c r="B27" s="192"/>
      <c r="C27" s="43" t="s">
        <v>125</v>
      </c>
      <c r="D27" s="327" t="s">
        <v>131</v>
      </c>
      <c r="E27" s="328"/>
      <c r="F27" s="328"/>
      <c r="G27" s="324"/>
      <c r="H27" s="192"/>
      <c r="I27" s="327" t="s">
        <v>131</v>
      </c>
      <c r="J27" s="328"/>
      <c r="K27" s="328"/>
      <c r="L27" s="217"/>
      <c r="M27" s="44" t="s">
        <v>40</v>
      </c>
      <c r="N27" s="316" t="s">
        <v>90</v>
      </c>
      <c r="O27" s="205"/>
      <c r="P27" s="444"/>
      <c r="Q27" s="316" t="s">
        <v>57</v>
      </c>
      <c r="R27" s="580" t="s">
        <v>94</v>
      </c>
      <c r="S27" s="530"/>
      <c r="T27" s="530"/>
      <c r="U27" s="580" t="s">
        <v>74</v>
      </c>
      <c r="V27" s="530"/>
      <c r="W27" s="584"/>
    </row>
    <row r="28" spans="1:25" s="19" customFormat="1" ht="16.5" customHeight="1">
      <c r="A28" s="478" t="s">
        <v>203</v>
      </c>
      <c r="B28" s="639"/>
      <c r="C28" s="642" t="s">
        <v>41</v>
      </c>
      <c r="D28" s="642"/>
      <c r="E28" s="644" t="s">
        <v>75</v>
      </c>
      <c r="F28" s="493"/>
      <c r="G28" s="493"/>
      <c r="H28" s="493"/>
      <c r="I28" s="645"/>
      <c r="J28" s="493" t="s">
        <v>76</v>
      </c>
      <c r="K28" s="493"/>
      <c r="L28" s="493"/>
      <c r="M28" s="493"/>
      <c r="N28" s="316"/>
      <c r="O28" s="329" t="s">
        <v>91</v>
      </c>
      <c r="P28" s="330"/>
      <c r="Q28" s="316"/>
      <c r="R28" s="580" t="s">
        <v>77</v>
      </c>
      <c r="S28" s="530"/>
      <c r="T28" s="530"/>
      <c r="U28" s="581" t="s">
        <v>77</v>
      </c>
      <c r="V28" s="582"/>
      <c r="W28" s="583"/>
    </row>
    <row r="29" spans="1:25" s="19" customFormat="1" ht="17.100000000000001" customHeight="1">
      <c r="A29" s="478"/>
      <c r="B29" s="639"/>
      <c r="C29" s="642"/>
      <c r="D29" s="642"/>
      <c r="E29" s="646" t="s">
        <v>56</v>
      </c>
      <c r="F29" s="647"/>
      <c r="G29" s="647"/>
      <c r="H29" s="647"/>
      <c r="I29" s="648"/>
      <c r="J29" s="26"/>
      <c r="K29" s="26"/>
      <c r="L29" s="26"/>
      <c r="M29" s="26"/>
      <c r="N29" s="316"/>
      <c r="O29" s="329"/>
      <c r="P29" s="330"/>
      <c r="Q29" s="316"/>
      <c r="R29" s="529" t="s">
        <v>95</v>
      </c>
      <c r="S29" s="530"/>
      <c r="T29" s="531"/>
      <c r="U29" s="580" t="s">
        <v>78</v>
      </c>
      <c r="V29" s="530"/>
      <c r="W29" s="584"/>
    </row>
    <row r="30" spans="1:25" s="19" customFormat="1" ht="17.100000000000001" customHeight="1">
      <c r="A30" s="640"/>
      <c r="B30" s="641"/>
      <c r="C30" s="643"/>
      <c r="D30" s="643"/>
      <c r="E30" s="650" t="s">
        <v>197</v>
      </c>
      <c r="F30" s="651"/>
      <c r="G30" s="651"/>
      <c r="H30" s="651"/>
      <c r="I30" s="652"/>
      <c r="J30" s="27"/>
      <c r="K30" s="27"/>
      <c r="L30" s="27"/>
      <c r="M30" s="27"/>
      <c r="N30" s="316"/>
      <c r="O30" s="329"/>
      <c r="P30" s="330"/>
      <c r="Q30" s="316"/>
      <c r="R30" s="580" t="s">
        <v>58</v>
      </c>
      <c r="S30" s="530"/>
      <c r="T30" s="530"/>
      <c r="U30" s="581" t="s">
        <v>58</v>
      </c>
      <c r="V30" s="582"/>
      <c r="W30" s="583"/>
    </row>
    <row r="31" spans="1:25" s="19" customFormat="1" ht="17.100000000000001" customHeight="1">
      <c r="A31" s="649" t="s">
        <v>42</v>
      </c>
      <c r="B31" s="636"/>
      <c r="C31" s="636"/>
      <c r="D31" s="635" t="s">
        <v>43</v>
      </c>
      <c r="E31" s="636"/>
      <c r="F31" s="636"/>
      <c r="G31" s="636"/>
      <c r="H31" s="637">
        <f>sheet1!H31</f>
        <v>0</v>
      </c>
      <c r="I31" s="638"/>
      <c r="J31" s="638"/>
      <c r="K31" s="638"/>
      <c r="L31" s="638"/>
      <c r="M31" s="638"/>
      <c r="N31" s="317"/>
      <c r="O31" s="329"/>
      <c r="P31" s="330"/>
      <c r="Q31" s="317"/>
      <c r="R31" s="585" t="s">
        <v>96</v>
      </c>
      <c r="S31" s="533"/>
      <c r="T31" s="533"/>
      <c r="U31" s="585" t="s">
        <v>59</v>
      </c>
      <c r="V31" s="533"/>
      <c r="W31" s="586"/>
    </row>
    <row r="32" spans="1:25" s="19" customFormat="1" ht="17.100000000000001" customHeight="1">
      <c r="A32" s="631" t="s">
        <v>145</v>
      </c>
      <c r="B32" s="632"/>
      <c r="C32" s="632"/>
      <c r="D32" s="632"/>
      <c r="E32" s="591" t="s">
        <v>146</v>
      </c>
      <c r="F32" s="592"/>
      <c r="G32" s="592" t="s">
        <v>45</v>
      </c>
      <c r="H32" s="592"/>
      <c r="I32" s="592" t="s">
        <v>79</v>
      </c>
      <c r="J32" s="592"/>
      <c r="K32" s="593" t="s">
        <v>8</v>
      </c>
      <c r="L32" s="593"/>
      <c r="M32" s="594"/>
      <c r="N32" s="538" t="s">
        <v>80</v>
      </c>
      <c r="O32" s="539"/>
      <c r="P32" s="539"/>
      <c r="Q32" s="539"/>
      <c r="R32" s="539"/>
      <c r="S32" s="197" t="s">
        <v>7</v>
      </c>
      <c r="T32" s="199" t="s">
        <v>81</v>
      </c>
      <c r="U32" s="200"/>
      <c r="V32" s="199" t="s">
        <v>82</v>
      </c>
      <c r="W32" s="537"/>
      <c r="Y32" s="28"/>
    </row>
    <row r="33" spans="1:23" s="19" customFormat="1" ht="17.100000000000001" customHeight="1">
      <c r="A33" s="633"/>
      <c r="B33" s="634"/>
      <c r="C33" s="634"/>
      <c r="D33" s="634"/>
      <c r="E33" s="601"/>
      <c r="F33" s="602"/>
      <c r="G33" s="602"/>
      <c r="H33" s="602"/>
      <c r="I33" s="602"/>
      <c r="J33" s="602"/>
      <c r="K33" s="603"/>
      <c r="L33" s="604"/>
      <c r="M33" s="605"/>
      <c r="N33" s="540"/>
      <c r="O33" s="541"/>
      <c r="P33" s="541"/>
      <c r="Q33" s="541"/>
      <c r="R33" s="541"/>
      <c r="S33" s="198"/>
      <c r="T33" s="201"/>
      <c r="U33" s="202"/>
      <c r="V33" s="201"/>
      <c r="W33" s="342"/>
    </row>
    <row r="34" spans="1:23" s="19" customFormat="1" ht="17.100000000000001" customHeight="1">
      <c r="A34" s="555" t="s">
        <v>47</v>
      </c>
      <c r="B34" s="556"/>
      <c r="C34" s="556"/>
      <c r="D34" s="556"/>
      <c r="E34" s="556"/>
      <c r="F34" s="556"/>
      <c r="G34" s="556"/>
      <c r="H34" s="556"/>
      <c r="I34" s="556"/>
      <c r="J34" s="556"/>
      <c r="K34" s="556"/>
      <c r="L34" s="556"/>
      <c r="M34" s="556"/>
      <c r="N34" s="535" t="s">
        <v>87</v>
      </c>
      <c r="O34" s="535"/>
      <c r="P34" s="535"/>
      <c r="Q34" s="535"/>
      <c r="R34" s="535"/>
      <c r="S34" s="535"/>
      <c r="T34" s="535"/>
      <c r="U34" s="535"/>
      <c r="V34" s="535"/>
      <c r="W34" s="536"/>
    </row>
    <row r="35" spans="1:23" s="19" customFormat="1" ht="16.5" customHeight="1">
      <c r="A35" s="557" t="s">
        <v>182</v>
      </c>
      <c r="B35" s="558"/>
      <c r="C35" s="558"/>
      <c r="D35" s="558"/>
      <c r="E35" s="558"/>
      <c r="F35" s="558"/>
      <c r="G35" s="558"/>
      <c r="H35" s="558"/>
      <c r="I35" s="558"/>
      <c r="J35" s="558"/>
      <c r="K35" s="558"/>
      <c r="L35" s="558"/>
      <c r="M35" s="559"/>
      <c r="N35" s="435">
        <f>sheet1!N35</f>
        <v>0</v>
      </c>
      <c r="O35" s="566"/>
      <c r="P35" s="566"/>
      <c r="Q35" s="566"/>
      <c r="R35" s="566"/>
      <c r="S35" s="566"/>
      <c r="T35" s="566"/>
      <c r="U35" s="566"/>
      <c r="V35" s="566"/>
      <c r="W35" s="567"/>
    </row>
    <row r="36" spans="1:23" s="19" customFormat="1" ht="17.100000000000001" customHeight="1">
      <c r="A36" s="560"/>
      <c r="B36" s="561"/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2"/>
      <c r="N36" s="568"/>
      <c r="O36" s="569"/>
      <c r="P36" s="569"/>
      <c r="Q36" s="569"/>
      <c r="R36" s="569"/>
      <c r="S36" s="569"/>
      <c r="T36" s="569"/>
      <c r="U36" s="569"/>
      <c r="V36" s="569"/>
      <c r="W36" s="570"/>
    </row>
    <row r="37" spans="1:23" s="19" customFormat="1" ht="17.100000000000001" customHeight="1">
      <c r="A37" s="560"/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2"/>
      <c r="N37" s="571"/>
      <c r="O37" s="572"/>
      <c r="P37" s="572"/>
      <c r="Q37" s="572"/>
      <c r="R37" s="572"/>
      <c r="S37" s="572"/>
      <c r="T37" s="572"/>
      <c r="U37" s="572"/>
      <c r="V37" s="572"/>
      <c r="W37" s="573"/>
    </row>
    <row r="38" spans="1:23" s="19" customFormat="1" ht="15" customHeight="1">
      <c r="A38" s="560"/>
      <c r="B38" s="561"/>
      <c r="C38" s="561"/>
      <c r="D38" s="561"/>
      <c r="E38" s="561"/>
      <c r="F38" s="561"/>
      <c r="G38" s="561"/>
      <c r="H38" s="561"/>
      <c r="I38" s="561"/>
      <c r="J38" s="561"/>
      <c r="K38" s="561"/>
      <c r="L38" s="561"/>
      <c r="M38" s="562"/>
      <c r="N38" s="574"/>
      <c r="O38" s="575"/>
      <c r="P38" s="575"/>
      <c r="Q38" s="575"/>
      <c r="R38" s="575"/>
      <c r="S38" s="575"/>
      <c r="T38" s="575"/>
      <c r="U38" s="575"/>
      <c r="V38" s="575"/>
      <c r="W38" s="576"/>
    </row>
    <row r="39" spans="1:23" s="19" customFormat="1" ht="15" customHeight="1">
      <c r="A39" s="560"/>
      <c r="B39" s="561"/>
      <c r="C39" s="561"/>
      <c r="D39" s="561"/>
      <c r="E39" s="561"/>
      <c r="F39" s="561"/>
      <c r="G39" s="561"/>
      <c r="H39" s="561"/>
      <c r="I39" s="561"/>
      <c r="J39" s="561"/>
      <c r="K39" s="561"/>
      <c r="L39" s="561"/>
      <c r="M39" s="562"/>
      <c r="N39" s="574"/>
      <c r="O39" s="575"/>
      <c r="P39" s="575"/>
      <c r="Q39" s="575"/>
      <c r="R39" s="575"/>
      <c r="S39" s="575"/>
      <c r="T39" s="575"/>
      <c r="U39" s="575"/>
      <c r="V39" s="575"/>
      <c r="W39" s="576"/>
    </row>
    <row r="40" spans="1:23" s="19" customFormat="1" ht="33.75" customHeight="1">
      <c r="A40" s="563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5"/>
      <c r="N40" s="577"/>
      <c r="O40" s="578"/>
      <c r="P40" s="578"/>
      <c r="Q40" s="578"/>
      <c r="R40" s="578"/>
      <c r="S40" s="578"/>
      <c r="T40" s="578"/>
      <c r="U40" s="578"/>
      <c r="V40" s="578"/>
      <c r="W40" s="579"/>
    </row>
    <row r="41" spans="1:23" s="19" customFormat="1" ht="18" customHeight="1">
      <c r="A41" s="434" t="s">
        <v>201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3" s="19" customFormat="1" ht="15" customHeight="1">
      <c r="A42" s="432" t="s">
        <v>83</v>
      </c>
      <c r="B42" s="433"/>
      <c r="C42" s="242" t="s">
        <v>84</v>
      </c>
      <c r="D42" s="193"/>
      <c r="E42" s="193"/>
      <c r="F42" s="193"/>
      <c r="G42" s="193"/>
      <c r="H42" s="242" t="s">
        <v>135</v>
      </c>
      <c r="I42" s="193"/>
      <c r="J42" s="193"/>
      <c r="K42" s="418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3" s="19" customFormat="1" ht="15.75" customHeight="1">
      <c r="A43" s="432"/>
      <c r="B43" s="433"/>
      <c r="C43" s="244"/>
      <c r="D43" s="245"/>
      <c r="E43" s="245"/>
      <c r="F43" s="245"/>
      <c r="G43" s="245"/>
      <c r="H43" s="244"/>
      <c r="I43" s="245"/>
      <c r="J43" s="245"/>
      <c r="K43" s="44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3" s="19" customFormat="1" ht="24.95" customHeight="1">
      <c r="A44" s="170" t="s">
        <v>43</v>
      </c>
      <c r="B44" s="171"/>
      <c r="C44" s="172" t="str">
        <f>sheet1!C44</f>
        <v>-</v>
      </c>
      <c r="D44" s="172"/>
      <c r="E44" s="172"/>
      <c r="F44" s="172"/>
      <c r="G44" s="172"/>
      <c r="H44" s="224" t="s">
        <v>136</v>
      </c>
      <c r="I44" s="225"/>
      <c r="J44" s="225"/>
      <c r="K44" s="226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3" s="19" customFormat="1" ht="24.95" customHeight="1">
      <c r="A45" s="179" t="s">
        <v>60</v>
      </c>
      <c r="B45" s="180"/>
      <c r="C45" s="181" t="str">
        <f>sheet1!C45</f>
        <v>_</v>
      </c>
      <c r="D45" s="181"/>
      <c r="E45" s="181"/>
      <c r="F45" s="181"/>
      <c r="G45" s="181"/>
      <c r="H45" s="227"/>
      <c r="I45" s="228"/>
      <c r="J45" s="228"/>
      <c r="K45" s="229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</row>
    <row r="46" spans="1:23" s="19" customFormat="1" ht="24.95" customHeight="1">
      <c r="A46" s="179" t="s">
        <v>61</v>
      </c>
      <c r="B46" s="180"/>
      <c r="C46" s="181" t="str">
        <f>sheet1!C46</f>
        <v>_</v>
      </c>
      <c r="D46" s="181"/>
      <c r="E46" s="181"/>
      <c r="F46" s="181"/>
      <c r="G46" s="181"/>
      <c r="H46" s="227"/>
      <c r="I46" s="228"/>
      <c r="J46" s="228"/>
      <c r="K46" s="229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3" s="19" customFormat="1" ht="24.95" customHeight="1" thickBot="1">
      <c r="A47" s="175" t="s">
        <v>62</v>
      </c>
      <c r="B47" s="176"/>
      <c r="C47" s="177" t="str">
        <f>sheet1!C47</f>
        <v>_</v>
      </c>
      <c r="D47" s="177"/>
      <c r="E47" s="177"/>
      <c r="F47" s="177"/>
      <c r="G47" s="177"/>
      <c r="H47" s="230"/>
      <c r="I47" s="231"/>
      <c r="J47" s="231"/>
      <c r="K47" s="232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3" s="19" customFormat="1" ht="12.95" customHeight="1">
      <c r="A48" s="431" t="s">
        <v>181</v>
      </c>
      <c r="B48" s="431"/>
      <c r="C48" s="431"/>
      <c r="D48" s="431"/>
      <c r="E48" s="431"/>
      <c r="F48" s="431"/>
      <c r="G48" s="20"/>
      <c r="H48" s="20"/>
      <c r="I48" s="20"/>
      <c r="J48" s="169" t="s">
        <v>50</v>
      </c>
      <c r="K48" s="169"/>
      <c r="L48" s="169"/>
      <c r="M48" s="169"/>
      <c r="N48" s="169"/>
      <c r="O48" s="169"/>
      <c r="P48" s="58"/>
      <c r="Q48" s="58"/>
      <c r="R48" s="58"/>
      <c r="S48" s="174" t="s">
        <v>51</v>
      </c>
      <c r="T48" s="174"/>
      <c r="U48" s="174"/>
      <c r="V48" s="174"/>
      <c r="W48" s="174"/>
    </row>
    <row r="49" spans="1:23" s="2" customFormat="1" ht="12.75" thickBo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>
      <c r="A50" s="258" t="s">
        <v>226</v>
      </c>
      <c r="B50" s="259"/>
      <c r="C50" s="259"/>
      <c r="D50" s="259"/>
      <c r="E50" s="259"/>
      <c r="F50" s="259"/>
      <c r="G50" s="259"/>
      <c r="H50" s="259"/>
      <c r="I50" s="259"/>
      <c r="J50" s="259"/>
      <c r="K50" s="259"/>
      <c r="L50" s="259"/>
      <c r="M50" s="259"/>
      <c r="N50" s="259"/>
      <c r="O50" s="259"/>
      <c r="P50" s="259"/>
      <c r="Q50" s="259"/>
      <c r="R50" s="259"/>
      <c r="S50" s="259"/>
      <c r="T50" s="259"/>
      <c r="U50" s="259"/>
      <c r="V50" s="259"/>
      <c r="W50" s="260"/>
    </row>
    <row r="51" spans="1:23" ht="14.25" thickBot="1">
      <c r="A51" s="261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3"/>
    </row>
    <row r="52" spans="1:23" ht="24.95" customHeight="1" thickBot="1">
      <c r="A52" s="264" t="s">
        <v>227</v>
      </c>
      <c r="B52" s="265"/>
      <c r="C52" s="266" t="s">
        <v>146</v>
      </c>
      <c r="D52" s="267"/>
      <c r="E52" s="267" t="s">
        <v>229</v>
      </c>
      <c r="F52" s="267"/>
      <c r="G52" s="267" t="s">
        <v>230</v>
      </c>
      <c r="H52" s="267"/>
      <c r="I52" s="267" t="s">
        <v>231</v>
      </c>
      <c r="J52" s="267"/>
      <c r="K52" s="267" t="s">
        <v>232</v>
      </c>
      <c r="L52" s="268"/>
      <c r="M52" s="269" t="s">
        <v>233</v>
      </c>
      <c r="N52" s="270"/>
      <c r="O52" s="270"/>
      <c r="P52" s="270"/>
      <c r="Q52" s="270"/>
      <c r="R52" s="270"/>
      <c r="S52" s="270"/>
      <c r="T52" s="270"/>
      <c r="U52" s="270"/>
      <c r="V52" s="270"/>
      <c r="W52" s="271"/>
    </row>
    <row r="53" spans="1:23" ht="24.95" customHeight="1">
      <c r="A53" s="552"/>
      <c r="B53" s="553"/>
      <c r="C53" s="554"/>
      <c r="D53" s="182"/>
      <c r="E53" s="182"/>
      <c r="F53" s="182"/>
      <c r="G53" s="182"/>
      <c r="H53" s="182"/>
      <c r="I53" s="182"/>
      <c r="J53" s="182"/>
      <c r="K53" s="182"/>
      <c r="L53" s="471"/>
      <c r="M53" s="472"/>
      <c r="N53" s="473"/>
      <c r="O53" s="473"/>
      <c r="P53" s="473"/>
      <c r="Q53" s="473"/>
      <c r="R53" s="473"/>
      <c r="S53" s="473"/>
      <c r="T53" s="473"/>
      <c r="U53" s="473"/>
      <c r="V53" s="473"/>
      <c r="W53" s="474"/>
    </row>
    <row r="54" spans="1:23" ht="24.95" customHeight="1">
      <c r="A54" s="153"/>
      <c r="B54" s="154"/>
      <c r="C54" s="155"/>
      <c r="D54" s="156"/>
      <c r="E54" s="156"/>
      <c r="F54" s="156"/>
      <c r="G54" s="156"/>
      <c r="H54" s="156"/>
      <c r="I54" s="156"/>
      <c r="J54" s="156"/>
      <c r="K54" s="156"/>
      <c r="L54" s="157"/>
      <c r="M54" s="158"/>
      <c r="N54" s="159"/>
      <c r="O54" s="159"/>
      <c r="P54" s="159"/>
      <c r="Q54" s="159"/>
      <c r="R54" s="159"/>
      <c r="S54" s="159"/>
      <c r="T54" s="159"/>
      <c r="U54" s="159"/>
      <c r="V54" s="159"/>
      <c r="W54" s="160"/>
    </row>
    <row r="55" spans="1:23" ht="24.95" customHeight="1">
      <c r="A55" s="153"/>
      <c r="B55" s="154"/>
      <c r="C55" s="155"/>
      <c r="D55" s="156"/>
      <c r="E55" s="156"/>
      <c r="F55" s="156"/>
      <c r="G55" s="156"/>
      <c r="H55" s="156"/>
      <c r="I55" s="156"/>
      <c r="J55" s="156"/>
      <c r="K55" s="156"/>
      <c r="L55" s="157"/>
      <c r="M55" s="158"/>
      <c r="N55" s="159"/>
      <c r="O55" s="159"/>
      <c r="P55" s="159"/>
      <c r="Q55" s="159"/>
      <c r="R55" s="159"/>
      <c r="S55" s="159"/>
      <c r="T55" s="159"/>
      <c r="U55" s="159"/>
      <c r="V55" s="159"/>
      <c r="W55" s="160"/>
    </row>
    <row r="56" spans="1:23" ht="24.95" customHeight="1">
      <c r="A56" s="153"/>
      <c r="B56" s="154"/>
      <c r="C56" s="155"/>
      <c r="D56" s="156"/>
      <c r="E56" s="156"/>
      <c r="F56" s="156"/>
      <c r="G56" s="156"/>
      <c r="H56" s="156"/>
      <c r="I56" s="156"/>
      <c r="J56" s="156"/>
      <c r="K56" s="156"/>
      <c r="L56" s="157"/>
      <c r="M56" s="158"/>
      <c r="N56" s="159"/>
      <c r="O56" s="159"/>
      <c r="P56" s="159"/>
      <c r="Q56" s="159"/>
      <c r="R56" s="159"/>
      <c r="S56" s="159"/>
      <c r="T56" s="159"/>
      <c r="U56" s="159"/>
      <c r="V56" s="159"/>
      <c r="W56" s="160"/>
    </row>
    <row r="57" spans="1:23" ht="24.95" customHeight="1">
      <c r="A57" s="153"/>
      <c r="B57" s="154"/>
      <c r="C57" s="155"/>
      <c r="D57" s="156"/>
      <c r="E57" s="156"/>
      <c r="F57" s="156"/>
      <c r="G57" s="156"/>
      <c r="H57" s="156"/>
      <c r="I57" s="156"/>
      <c r="J57" s="156"/>
      <c r="K57" s="156"/>
      <c r="L57" s="157"/>
      <c r="M57" s="158"/>
      <c r="N57" s="159"/>
      <c r="O57" s="159"/>
      <c r="P57" s="159"/>
      <c r="Q57" s="159"/>
      <c r="R57" s="159"/>
      <c r="S57" s="159"/>
      <c r="T57" s="159"/>
      <c r="U57" s="159"/>
      <c r="V57" s="159"/>
      <c r="W57" s="160"/>
    </row>
    <row r="58" spans="1:23" ht="24.95" customHeight="1">
      <c r="A58" s="153"/>
      <c r="B58" s="154"/>
      <c r="C58" s="155"/>
      <c r="D58" s="156"/>
      <c r="E58" s="156"/>
      <c r="F58" s="156"/>
      <c r="G58" s="156"/>
      <c r="H58" s="156"/>
      <c r="I58" s="156"/>
      <c r="J58" s="156"/>
      <c r="K58" s="156"/>
      <c r="L58" s="157"/>
      <c r="M58" s="158"/>
      <c r="N58" s="159"/>
      <c r="O58" s="159"/>
      <c r="P58" s="159"/>
      <c r="Q58" s="159"/>
      <c r="R58" s="159"/>
      <c r="S58" s="159"/>
      <c r="T58" s="159"/>
      <c r="U58" s="159"/>
      <c r="V58" s="159"/>
      <c r="W58" s="160"/>
    </row>
    <row r="59" spans="1:23" ht="24.95" customHeight="1">
      <c r="A59" s="153"/>
      <c r="B59" s="154"/>
      <c r="C59" s="155"/>
      <c r="D59" s="156"/>
      <c r="E59" s="156"/>
      <c r="F59" s="156"/>
      <c r="G59" s="156"/>
      <c r="H59" s="156"/>
      <c r="I59" s="156"/>
      <c r="J59" s="156"/>
      <c r="K59" s="156"/>
      <c r="L59" s="157"/>
      <c r="M59" s="158"/>
      <c r="N59" s="159"/>
      <c r="O59" s="159"/>
      <c r="P59" s="159"/>
      <c r="Q59" s="159"/>
      <c r="R59" s="159"/>
      <c r="S59" s="159"/>
      <c r="T59" s="159"/>
      <c r="U59" s="159"/>
      <c r="V59" s="159"/>
      <c r="W59" s="160"/>
    </row>
    <row r="60" spans="1:23" ht="24.95" customHeight="1">
      <c r="A60" s="153"/>
      <c r="B60" s="154"/>
      <c r="C60" s="155"/>
      <c r="D60" s="156"/>
      <c r="E60" s="156"/>
      <c r="F60" s="156"/>
      <c r="G60" s="156"/>
      <c r="H60" s="156"/>
      <c r="I60" s="156"/>
      <c r="J60" s="156"/>
      <c r="K60" s="156"/>
      <c r="L60" s="157"/>
      <c r="M60" s="158"/>
      <c r="N60" s="159"/>
      <c r="O60" s="159"/>
      <c r="P60" s="159"/>
      <c r="Q60" s="159"/>
      <c r="R60" s="159"/>
      <c r="S60" s="159"/>
      <c r="T60" s="159"/>
      <c r="U60" s="159"/>
      <c r="V60" s="159"/>
      <c r="W60" s="160"/>
    </row>
    <row r="61" spans="1:23" ht="24.95" customHeight="1">
      <c r="A61" s="153"/>
      <c r="B61" s="154"/>
      <c r="C61" s="155"/>
      <c r="D61" s="156"/>
      <c r="E61" s="156"/>
      <c r="F61" s="156"/>
      <c r="G61" s="156"/>
      <c r="H61" s="156"/>
      <c r="I61" s="156"/>
      <c r="J61" s="156"/>
      <c r="K61" s="156"/>
      <c r="L61" s="157"/>
      <c r="M61" s="158"/>
      <c r="N61" s="159"/>
      <c r="O61" s="159"/>
      <c r="P61" s="159"/>
      <c r="Q61" s="159"/>
      <c r="R61" s="159"/>
      <c r="S61" s="159"/>
      <c r="T61" s="159"/>
      <c r="U61" s="159"/>
      <c r="V61" s="159"/>
      <c r="W61" s="160"/>
    </row>
    <row r="62" spans="1:23" ht="24.95" customHeight="1">
      <c r="A62" s="153"/>
      <c r="B62" s="154"/>
      <c r="C62" s="155"/>
      <c r="D62" s="156"/>
      <c r="E62" s="156"/>
      <c r="F62" s="156"/>
      <c r="G62" s="156"/>
      <c r="H62" s="156"/>
      <c r="I62" s="156"/>
      <c r="J62" s="156"/>
      <c r="K62" s="156"/>
      <c r="L62" s="157"/>
      <c r="M62" s="158"/>
      <c r="N62" s="159"/>
      <c r="O62" s="159"/>
      <c r="P62" s="159"/>
      <c r="Q62" s="159"/>
      <c r="R62" s="159"/>
      <c r="S62" s="159"/>
      <c r="T62" s="159"/>
      <c r="U62" s="159"/>
      <c r="V62" s="159"/>
      <c r="W62" s="160"/>
    </row>
    <row r="63" spans="1:23" ht="24.95" customHeight="1">
      <c r="A63" s="153"/>
      <c r="B63" s="154"/>
      <c r="C63" s="155"/>
      <c r="D63" s="156"/>
      <c r="E63" s="156"/>
      <c r="F63" s="156"/>
      <c r="G63" s="156"/>
      <c r="H63" s="156"/>
      <c r="I63" s="156"/>
      <c r="J63" s="156"/>
      <c r="K63" s="156"/>
      <c r="L63" s="157"/>
      <c r="M63" s="158"/>
      <c r="N63" s="159"/>
      <c r="O63" s="159"/>
      <c r="P63" s="159"/>
      <c r="Q63" s="159"/>
      <c r="R63" s="159"/>
      <c r="S63" s="159"/>
      <c r="T63" s="159"/>
      <c r="U63" s="159"/>
      <c r="V63" s="159"/>
      <c r="W63" s="160"/>
    </row>
    <row r="64" spans="1:23" ht="24.95" customHeight="1">
      <c r="A64" s="153"/>
      <c r="B64" s="154"/>
      <c r="C64" s="155"/>
      <c r="D64" s="156"/>
      <c r="E64" s="156"/>
      <c r="F64" s="156"/>
      <c r="G64" s="156"/>
      <c r="H64" s="156"/>
      <c r="I64" s="156"/>
      <c r="J64" s="156"/>
      <c r="K64" s="156"/>
      <c r="L64" s="157"/>
      <c r="M64" s="158"/>
      <c r="N64" s="159"/>
      <c r="O64" s="159"/>
      <c r="P64" s="159"/>
      <c r="Q64" s="159"/>
      <c r="R64" s="159"/>
      <c r="S64" s="159"/>
      <c r="T64" s="159"/>
      <c r="U64" s="159"/>
      <c r="V64" s="159"/>
      <c r="W64" s="160"/>
    </row>
    <row r="65" spans="1:23" ht="24.95" customHeight="1">
      <c r="A65" s="153"/>
      <c r="B65" s="154"/>
      <c r="C65" s="155"/>
      <c r="D65" s="156"/>
      <c r="E65" s="156"/>
      <c r="F65" s="156"/>
      <c r="G65" s="156"/>
      <c r="H65" s="156"/>
      <c r="I65" s="156"/>
      <c r="J65" s="156"/>
      <c r="K65" s="156"/>
      <c r="L65" s="157"/>
      <c r="M65" s="158"/>
      <c r="N65" s="159"/>
      <c r="O65" s="159"/>
      <c r="P65" s="159"/>
      <c r="Q65" s="159"/>
      <c r="R65" s="159"/>
      <c r="S65" s="159"/>
      <c r="T65" s="159"/>
      <c r="U65" s="159"/>
      <c r="V65" s="159"/>
      <c r="W65" s="160"/>
    </row>
    <row r="66" spans="1:23" ht="24.95" customHeight="1">
      <c r="A66" s="153"/>
      <c r="B66" s="154"/>
      <c r="C66" s="155"/>
      <c r="D66" s="156"/>
      <c r="E66" s="156"/>
      <c r="F66" s="156"/>
      <c r="G66" s="156"/>
      <c r="H66" s="156"/>
      <c r="I66" s="156"/>
      <c r="J66" s="156"/>
      <c r="K66" s="156"/>
      <c r="L66" s="157"/>
      <c r="M66" s="158"/>
      <c r="N66" s="159"/>
      <c r="O66" s="159"/>
      <c r="P66" s="159"/>
      <c r="Q66" s="159"/>
      <c r="R66" s="159"/>
      <c r="S66" s="159"/>
      <c r="T66" s="159"/>
      <c r="U66" s="159"/>
      <c r="V66" s="159"/>
      <c r="W66" s="160"/>
    </row>
    <row r="67" spans="1:23" ht="24.95" customHeight="1">
      <c r="A67" s="153"/>
      <c r="B67" s="154"/>
      <c r="C67" s="155"/>
      <c r="D67" s="156"/>
      <c r="E67" s="156"/>
      <c r="F67" s="156"/>
      <c r="G67" s="156"/>
      <c r="H67" s="156"/>
      <c r="I67" s="156"/>
      <c r="J67" s="156"/>
      <c r="K67" s="156"/>
      <c r="L67" s="157"/>
      <c r="M67" s="158"/>
      <c r="N67" s="159"/>
      <c r="O67" s="159"/>
      <c r="P67" s="159"/>
      <c r="Q67" s="159"/>
      <c r="R67" s="159"/>
      <c r="S67" s="159"/>
      <c r="T67" s="159"/>
      <c r="U67" s="159"/>
      <c r="V67" s="159"/>
      <c r="W67" s="160"/>
    </row>
    <row r="68" spans="1:23" ht="24.95" customHeight="1">
      <c r="A68" s="135"/>
      <c r="B68" s="136"/>
      <c r="C68" s="155"/>
      <c r="D68" s="156"/>
      <c r="E68" s="156"/>
      <c r="F68" s="156"/>
      <c r="G68" s="156"/>
      <c r="H68" s="156"/>
      <c r="I68" s="156"/>
      <c r="J68" s="156"/>
      <c r="K68" s="156"/>
      <c r="L68" s="157"/>
      <c r="M68" s="137"/>
      <c r="N68" s="138"/>
      <c r="O68" s="138"/>
      <c r="P68" s="138"/>
      <c r="Q68" s="138"/>
      <c r="R68" s="138"/>
      <c r="S68" s="138"/>
      <c r="T68" s="138"/>
      <c r="U68" s="138"/>
      <c r="V68" s="138"/>
      <c r="W68" s="139"/>
    </row>
    <row r="69" spans="1:23" ht="24.95" customHeight="1">
      <c r="A69" s="153"/>
      <c r="B69" s="154"/>
      <c r="C69" s="155"/>
      <c r="D69" s="156"/>
      <c r="E69" s="156"/>
      <c r="F69" s="156"/>
      <c r="G69" s="156"/>
      <c r="H69" s="156"/>
      <c r="I69" s="156"/>
      <c r="J69" s="156"/>
      <c r="K69" s="156"/>
      <c r="L69" s="157"/>
      <c r="M69" s="158"/>
      <c r="N69" s="159"/>
      <c r="O69" s="159"/>
      <c r="P69" s="159"/>
      <c r="Q69" s="159"/>
      <c r="R69" s="159"/>
      <c r="S69" s="159"/>
      <c r="T69" s="159"/>
      <c r="U69" s="159"/>
      <c r="V69" s="159"/>
      <c r="W69" s="160"/>
    </row>
    <row r="70" spans="1:23" ht="24.95" customHeight="1" thickBot="1">
      <c r="A70" s="161"/>
      <c r="B70" s="162"/>
      <c r="C70" s="163"/>
      <c r="D70" s="164"/>
      <c r="E70" s="164"/>
      <c r="F70" s="164"/>
      <c r="G70" s="164"/>
      <c r="H70" s="164"/>
      <c r="I70" s="164"/>
      <c r="J70" s="164"/>
      <c r="K70" s="164"/>
      <c r="L70" s="165"/>
      <c r="M70" s="166"/>
      <c r="N70" s="167"/>
      <c r="O70" s="167"/>
      <c r="P70" s="167"/>
      <c r="Q70" s="167"/>
      <c r="R70" s="167"/>
      <c r="S70" s="167"/>
      <c r="T70" s="167"/>
      <c r="U70" s="167"/>
      <c r="V70" s="167"/>
      <c r="W70" s="168"/>
    </row>
    <row r="71" spans="1:23" ht="14.25" thickBot="1">
      <c r="A71" s="143"/>
      <c r="B71" s="144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44"/>
      <c r="S71" s="144"/>
      <c r="T71" s="144"/>
      <c r="U71" s="144"/>
      <c r="V71" s="108"/>
      <c r="W71" s="109"/>
    </row>
    <row r="72" spans="1:23" s="2" customFormat="1" ht="12" customHeight="1">
      <c r="A72" s="523" t="s">
        <v>147</v>
      </c>
      <c r="B72" s="524"/>
      <c r="C72" s="524"/>
      <c r="D72" s="524"/>
      <c r="E72" s="524"/>
      <c r="F72" s="524"/>
      <c r="G72" s="524"/>
      <c r="H72" s="524"/>
      <c r="I72" s="524"/>
      <c r="J72" s="524"/>
      <c r="K72" s="524"/>
      <c r="L72" s="524"/>
      <c r="M72" s="524"/>
      <c r="N72" s="524"/>
      <c r="O72" s="524"/>
      <c r="P72" s="524"/>
      <c r="Q72" s="524"/>
      <c r="R72" s="524"/>
      <c r="S72" s="524"/>
      <c r="T72" s="524"/>
      <c r="U72" s="524"/>
      <c r="V72" s="524"/>
      <c r="W72" s="525"/>
    </row>
    <row r="73" spans="1:23" s="2" customFormat="1" ht="33.75" customHeight="1">
      <c r="A73" s="526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8"/>
    </row>
    <row r="74" spans="1:23" s="2" customFormat="1" ht="13.5" customHeight="1">
      <c r="A74" s="512" t="s">
        <v>148</v>
      </c>
      <c r="B74" s="509"/>
      <c r="C74" s="509" t="s">
        <v>149</v>
      </c>
      <c r="D74" s="509"/>
      <c r="E74" s="509" t="s">
        <v>150</v>
      </c>
      <c r="F74" s="509"/>
      <c r="G74" s="509"/>
      <c r="H74" s="509"/>
      <c r="I74" s="509"/>
      <c r="J74" s="509"/>
      <c r="K74" s="509"/>
      <c r="L74" s="509"/>
      <c r="M74" s="509"/>
      <c r="N74" s="509"/>
      <c r="O74" s="509"/>
      <c r="P74" s="509"/>
      <c r="Q74" s="509"/>
      <c r="R74" s="509" t="s">
        <v>151</v>
      </c>
      <c r="S74" s="509"/>
      <c r="T74" s="509" t="s">
        <v>152</v>
      </c>
      <c r="U74" s="509"/>
      <c r="V74" s="509" t="s">
        <v>153</v>
      </c>
      <c r="W74" s="511"/>
    </row>
    <row r="75" spans="1:23" s="2" customFormat="1" ht="13.5" customHeight="1">
      <c r="A75" s="512"/>
      <c r="B75" s="509"/>
      <c r="C75" s="509"/>
      <c r="D75" s="509"/>
      <c r="E75" s="509"/>
      <c r="F75" s="509"/>
      <c r="G75" s="509"/>
      <c r="H75" s="509"/>
      <c r="I75" s="509"/>
      <c r="J75" s="509"/>
      <c r="K75" s="509"/>
      <c r="L75" s="509"/>
      <c r="M75" s="509"/>
      <c r="N75" s="509"/>
      <c r="O75" s="509"/>
      <c r="P75" s="509"/>
      <c r="Q75" s="509"/>
      <c r="R75" s="509"/>
      <c r="S75" s="509"/>
      <c r="T75" s="509"/>
      <c r="U75" s="509"/>
      <c r="V75" s="509"/>
      <c r="W75" s="511"/>
    </row>
    <row r="76" spans="1:23">
      <c r="A76" s="545" t="s">
        <v>154</v>
      </c>
      <c r="B76" s="546"/>
      <c r="C76" s="508" t="s">
        <v>155</v>
      </c>
      <c r="D76" s="508"/>
      <c r="E76" s="508" t="s">
        <v>156</v>
      </c>
      <c r="F76" s="508"/>
      <c r="G76" s="508"/>
      <c r="H76" s="508"/>
      <c r="I76" s="508"/>
      <c r="J76" s="508"/>
      <c r="K76" s="508"/>
      <c r="L76" s="508"/>
      <c r="M76" s="508"/>
      <c r="N76" s="508"/>
      <c r="O76" s="508"/>
      <c r="P76" s="508"/>
      <c r="Q76" s="508"/>
      <c r="R76" s="509" t="s">
        <v>157</v>
      </c>
      <c r="S76" s="509"/>
      <c r="T76" s="510"/>
      <c r="U76" s="510"/>
      <c r="V76" s="509" t="s">
        <v>158</v>
      </c>
      <c r="W76" s="511"/>
    </row>
    <row r="77" spans="1:23">
      <c r="A77" s="545"/>
      <c r="B77" s="546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9"/>
      <c r="S77" s="509"/>
      <c r="T77" s="510"/>
      <c r="U77" s="510"/>
      <c r="V77" s="509"/>
      <c r="W77" s="511"/>
    </row>
    <row r="78" spans="1:23" ht="13.5" customHeight="1">
      <c r="A78" s="512">
        <v>1</v>
      </c>
      <c r="B78" s="509"/>
      <c r="C78" s="508" t="s">
        <v>159</v>
      </c>
      <c r="D78" s="508"/>
      <c r="E78" s="544" t="s">
        <v>183</v>
      </c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09" t="s">
        <v>160</v>
      </c>
      <c r="S78" s="509"/>
      <c r="T78" s="510"/>
      <c r="U78" s="510"/>
      <c r="V78" s="509" t="s">
        <v>161</v>
      </c>
      <c r="W78" s="511"/>
    </row>
    <row r="79" spans="1:23" ht="13.5" customHeight="1">
      <c r="A79" s="512"/>
      <c r="B79" s="509"/>
      <c r="C79" s="508"/>
      <c r="D79" s="508"/>
      <c r="E79" s="544"/>
      <c r="F79" s="544"/>
      <c r="G79" s="544"/>
      <c r="H79" s="544"/>
      <c r="I79" s="544"/>
      <c r="J79" s="544"/>
      <c r="K79" s="544"/>
      <c r="L79" s="544"/>
      <c r="M79" s="544"/>
      <c r="N79" s="544"/>
      <c r="O79" s="544"/>
      <c r="P79" s="544"/>
      <c r="Q79" s="544"/>
      <c r="R79" s="509"/>
      <c r="S79" s="509"/>
      <c r="T79" s="510"/>
      <c r="U79" s="510"/>
      <c r="V79" s="509"/>
      <c r="W79" s="511"/>
    </row>
    <row r="80" spans="1:23">
      <c r="A80" s="512"/>
      <c r="B80" s="509"/>
      <c r="C80" s="508"/>
      <c r="D80" s="508"/>
      <c r="E80" s="544"/>
      <c r="F80" s="544"/>
      <c r="G80" s="544"/>
      <c r="H80" s="544"/>
      <c r="I80" s="544"/>
      <c r="J80" s="544"/>
      <c r="K80" s="544"/>
      <c r="L80" s="544"/>
      <c r="M80" s="544"/>
      <c r="N80" s="544"/>
      <c r="O80" s="544"/>
      <c r="P80" s="544"/>
      <c r="Q80" s="544"/>
      <c r="R80" s="509"/>
      <c r="S80" s="509"/>
      <c r="T80" s="510"/>
      <c r="U80" s="510"/>
      <c r="V80" s="509"/>
      <c r="W80" s="511"/>
    </row>
    <row r="81" spans="1:23">
      <c r="A81" s="512">
        <v>2</v>
      </c>
      <c r="B81" s="509"/>
      <c r="C81" s="508"/>
      <c r="D81" s="508"/>
      <c r="E81" s="542"/>
      <c r="F81" s="542"/>
      <c r="G81" s="542"/>
      <c r="H81" s="542"/>
      <c r="I81" s="542"/>
      <c r="J81" s="542"/>
      <c r="K81" s="542"/>
      <c r="L81" s="542"/>
      <c r="M81" s="542"/>
      <c r="N81" s="542"/>
      <c r="O81" s="542"/>
      <c r="P81" s="542"/>
      <c r="Q81" s="542"/>
      <c r="R81" s="509"/>
      <c r="S81" s="509"/>
      <c r="T81" s="509"/>
      <c r="U81" s="509"/>
      <c r="V81" s="542"/>
      <c r="W81" s="543"/>
    </row>
    <row r="82" spans="1:23">
      <c r="A82" s="512"/>
      <c r="B82" s="509"/>
      <c r="C82" s="508"/>
      <c r="D82" s="508"/>
      <c r="E82" s="542"/>
      <c r="F82" s="542"/>
      <c r="G82" s="542"/>
      <c r="H82" s="542"/>
      <c r="I82" s="542"/>
      <c r="J82" s="542"/>
      <c r="K82" s="542"/>
      <c r="L82" s="542"/>
      <c r="M82" s="542"/>
      <c r="N82" s="542"/>
      <c r="O82" s="542"/>
      <c r="P82" s="542"/>
      <c r="Q82" s="542"/>
      <c r="R82" s="509"/>
      <c r="S82" s="509"/>
      <c r="T82" s="509"/>
      <c r="U82" s="509"/>
      <c r="V82" s="542"/>
      <c r="W82" s="543"/>
    </row>
    <row r="83" spans="1:23">
      <c r="A83" s="512">
        <v>3</v>
      </c>
      <c r="B83" s="509"/>
      <c r="C83" s="508"/>
      <c r="D83" s="508"/>
      <c r="E83" s="542"/>
      <c r="F83" s="542"/>
      <c r="G83" s="542"/>
      <c r="H83" s="542"/>
      <c r="I83" s="542"/>
      <c r="J83" s="542"/>
      <c r="K83" s="542"/>
      <c r="L83" s="542"/>
      <c r="M83" s="542"/>
      <c r="N83" s="542"/>
      <c r="O83" s="542"/>
      <c r="P83" s="542"/>
      <c r="Q83" s="542"/>
      <c r="R83" s="509"/>
      <c r="S83" s="509"/>
      <c r="T83" s="509"/>
      <c r="U83" s="509"/>
      <c r="V83" s="542"/>
      <c r="W83" s="543"/>
    </row>
    <row r="84" spans="1:23">
      <c r="A84" s="512"/>
      <c r="B84" s="509"/>
      <c r="C84" s="508"/>
      <c r="D84" s="508"/>
      <c r="E84" s="542"/>
      <c r="F84" s="542"/>
      <c r="G84" s="542"/>
      <c r="H84" s="542"/>
      <c r="I84" s="542"/>
      <c r="J84" s="542"/>
      <c r="K84" s="542"/>
      <c r="L84" s="542"/>
      <c r="M84" s="542"/>
      <c r="N84" s="542"/>
      <c r="O84" s="542"/>
      <c r="P84" s="542"/>
      <c r="Q84" s="542"/>
      <c r="R84" s="509"/>
      <c r="S84" s="509"/>
      <c r="T84" s="509"/>
      <c r="U84" s="509"/>
      <c r="V84" s="542"/>
      <c r="W84" s="543"/>
    </row>
    <row r="85" spans="1:23">
      <c r="A85" s="512">
        <v>4</v>
      </c>
      <c r="B85" s="509"/>
      <c r="C85" s="508"/>
      <c r="D85" s="508"/>
      <c r="E85" s="542"/>
      <c r="F85" s="542"/>
      <c r="G85" s="542"/>
      <c r="H85" s="542"/>
      <c r="I85" s="542"/>
      <c r="J85" s="542"/>
      <c r="K85" s="542"/>
      <c r="L85" s="542"/>
      <c r="M85" s="542"/>
      <c r="N85" s="542"/>
      <c r="O85" s="542"/>
      <c r="P85" s="542"/>
      <c r="Q85" s="542"/>
      <c r="R85" s="509"/>
      <c r="S85" s="509"/>
      <c r="T85" s="509"/>
      <c r="U85" s="509"/>
      <c r="V85" s="542"/>
      <c r="W85" s="543"/>
    </row>
    <row r="86" spans="1:23">
      <c r="A86" s="512"/>
      <c r="B86" s="509"/>
      <c r="C86" s="508"/>
      <c r="D86" s="508"/>
      <c r="E86" s="542"/>
      <c r="F86" s="542"/>
      <c r="G86" s="542"/>
      <c r="H86" s="542"/>
      <c r="I86" s="542"/>
      <c r="J86" s="542"/>
      <c r="K86" s="542"/>
      <c r="L86" s="542"/>
      <c r="M86" s="542"/>
      <c r="N86" s="542"/>
      <c r="O86" s="542"/>
      <c r="P86" s="542"/>
      <c r="Q86" s="542"/>
      <c r="R86" s="509"/>
      <c r="S86" s="509"/>
      <c r="T86" s="509"/>
      <c r="U86" s="509"/>
      <c r="V86" s="542"/>
      <c r="W86" s="543"/>
    </row>
    <row r="87" spans="1:23">
      <c r="A87" s="512">
        <v>5</v>
      </c>
      <c r="B87" s="509"/>
      <c r="C87" s="508"/>
      <c r="D87" s="508"/>
      <c r="E87" s="542"/>
      <c r="F87" s="542"/>
      <c r="G87" s="542"/>
      <c r="H87" s="542"/>
      <c r="I87" s="542"/>
      <c r="J87" s="542"/>
      <c r="K87" s="542"/>
      <c r="L87" s="542"/>
      <c r="M87" s="542"/>
      <c r="N87" s="542"/>
      <c r="O87" s="542"/>
      <c r="P87" s="542"/>
      <c r="Q87" s="542"/>
      <c r="R87" s="509"/>
      <c r="S87" s="509"/>
      <c r="T87" s="509"/>
      <c r="U87" s="509"/>
      <c r="V87" s="542"/>
      <c r="W87" s="543"/>
    </row>
    <row r="88" spans="1:23" ht="14.25" thickBot="1">
      <c r="A88" s="547"/>
      <c r="B88" s="548"/>
      <c r="C88" s="549"/>
      <c r="D88" s="549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48"/>
      <c r="S88" s="548"/>
      <c r="T88" s="548"/>
      <c r="U88" s="548"/>
      <c r="V88" s="550"/>
      <c r="W88" s="551"/>
    </row>
  </sheetData>
  <mergeCells count="367">
    <mergeCell ref="A1:H2"/>
    <mergeCell ref="I1:J2"/>
    <mergeCell ref="K1:M2"/>
    <mergeCell ref="N1:O2"/>
    <mergeCell ref="P1:W2"/>
    <mergeCell ref="A3:C3"/>
    <mergeCell ref="D3:G3"/>
    <mergeCell ref="N3:O3"/>
    <mergeCell ref="P3:R3"/>
    <mergeCell ref="S3:W3"/>
    <mergeCell ref="A5:B5"/>
    <mergeCell ref="C5:G5"/>
    <mergeCell ref="H5:I5"/>
    <mergeCell ref="J5:M5"/>
    <mergeCell ref="A4:B4"/>
    <mergeCell ref="C4:G4"/>
    <mergeCell ref="H4:I4"/>
    <mergeCell ref="J4:M4"/>
    <mergeCell ref="N4:O5"/>
    <mergeCell ref="P4:U5"/>
    <mergeCell ref="V4:W5"/>
    <mergeCell ref="A7:A8"/>
    <mergeCell ref="B7:C8"/>
    <mergeCell ref="D7:D8"/>
    <mergeCell ref="E7:F8"/>
    <mergeCell ref="G7:G8"/>
    <mergeCell ref="H7:I8"/>
    <mergeCell ref="J7:J8"/>
    <mergeCell ref="K7:L8"/>
    <mergeCell ref="A6:C6"/>
    <mergeCell ref="D6:F6"/>
    <mergeCell ref="G6:I6"/>
    <mergeCell ref="J6:L6"/>
    <mergeCell ref="M7:M8"/>
    <mergeCell ref="N7:O8"/>
    <mergeCell ref="P7:P8"/>
    <mergeCell ref="Q7:R8"/>
    <mergeCell ref="S7:T7"/>
    <mergeCell ref="U7:W7"/>
    <mergeCell ref="S8:T9"/>
    <mergeCell ref="U8:W9"/>
    <mergeCell ref="S6:T6"/>
    <mergeCell ref="U6:W6"/>
    <mergeCell ref="M6:O6"/>
    <mergeCell ref="P6:R6"/>
    <mergeCell ref="A9:E9"/>
    <mergeCell ref="F9:L9"/>
    <mergeCell ref="M9:R9"/>
    <mergeCell ref="A10:C10"/>
    <mergeCell ref="D10:E10"/>
    <mergeCell ref="F10:G11"/>
    <mergeCell ref="H10:I10"/>
    <mergeCell ref="K10:M11"/>
    <mergeCell ref="N10:Q11"/>
    <mergeCell ref="R10:W10"/>
    <mergeCell ref="U12:W13"/>
    <mergeCell ref="S14:T14"/>
    <mergeCell ref="U14:W14"/>
    <mergeCell ref="S15:T16"/>
    <mergeCell ref="U15:W16"/>
    <mergeCell ref="N15:Q15"/>
    <mergeCell ref="A11:E11"/>
    <mergeCell ref="H11:J11"/>
    <mergeCell ref="R11:T11"/>
    <mergeCell ref="U11:W11"/>
    <mergeCell ref="B12:C13"/>
    <mergeCell ref="F12:F13"/>
    <mergeCell ref="H12:J13"/>
    <mergeCell ref="L12:N13"/>
    <mergeCell ref="P12:R13"/>
    <mergeCell ref="S12:T13"/>
    <mergeCell ref="S17:W17"/>
    <mergeCell ref="D18:E18"/>
    <mergeCell ref="J18:M18"/>
    <mergeCell ref="N18:Q18"/>
    <mergeCell ref="S18:W18"/>
    <mergeCell ref="F17:I17"/>
    <mergeCell ref="F18:I18"/>
    <mergeCell ref="A16:B18"/>
    <mergeCell ref="N16:Q16"/>
    <mergeCell ref="R16:R17"/>
    <mergeCell ref="D17:E17"/>
    <mergeCell ref="J17:M17"/>
    <mergeCell ref="N17:Q17"/>
    <mergeCell ref="F16:L16"/>
    <mergeCell ref="A20:C20"/>
    <mergeCell ref="J20:M20"/>
    <mergeCell ref="N20:Q20"/>
    <mergeCell ref="S20:T20"/>
    <mergeCell ref="U20:W20"/>
    <mergeCell ref="D20:E20"/>
    <mergeCell ref="F20:I20"/>
    <mergeCell ref="A19:C19"/>
    <mergeCell ref="D19:E19"/>
    <mergeCell ref="J19:M19"/>
    <mergeCell ref="N19:Q19"/>
    <mergeCell ref="S19:W19"/>
    <mergeCell ref="F19:I19"/>
    <mergeCell ref="A22:C22"/>
    <mergeCell ref="D22:Q22"/>
    <mergeCell ref="T22:V22"/>
    <mergeCell ref="A23:C23"/>
    <mergeCell ref="D23:Q23"/>
    <mergeCell ref="S23:S24"/>
    <mergeCell ref="A21:C21"/>
    <mergeCell ref="D21:I21"/>
    <mergeCell ref="J21:M21"/>
    <mergeCell ref="N21:Q21"/>
    <mergeCell ref="S21:T21"/>
    <mergeCell ref="U21:W21"/>
    <mergeCell ref="W23:W24"/>
    <mergeCell ref="D24:F24"/>
    <mergeCell ref="T24:V24"/>
    <mergeCell ref="A25:B27"/>
    <mergeCell ref="D25:F25"/>
    <mergeCell ref="G25:H27"/>
    <mergeCell ref="I25:K25"/>
    <mergeCell ref="L25:L27"/>
    <mergeCell ref="N25:N26"/>
    <mergeCell ref="O25:P25"/>
    <mergeCell ref="A28:B30"/>
    <mergeCell ref="C28:D30"/>
    <mergeCell ref="E28:I28"/>
    <mergeCell ref="J28:M28"/>
    <mergeCell ref="O28:P31"/>
    <mergeCell ref="E29:I29"/>
    <mergeCell ref="Q25:Q26"/>
    <mergeCell ref="R25:S25"/>
    <mergeCell ref="U25:V25"/>
    <mergeCell ref="D26:F26"/>
    <mergeCell ref="I26:K26"/>
    <mergeCell ref="O26:P27"/>
    <mergeCell ref="R26:T26"/>
    <mergeCell ref="U26:W26"/>
    <mergeCell ref="D27:F27"/>
    <mergeCell ref="I27:K27"/>
    <mergeCell ref="R29:T29"/>
    <mergeCell ref="U29:W29"/>
    <mergeCell ref="E30:I30"/>
    <mergeCell ref="R30:T30"/>
    <mergeCell ref="U30:W30"/>
    <mergeCell ref="N27:N31"/>
    <mergeCell ref="Q27:Q31"/>
    <mergeCell ref="R27:T27"/>
    <mergeCell ref="U27:W27"/>
    <mergeCell ref="R28:T28"/>
    <mergeCell ref="U28:W28"/>
    <mergeCell ref="N32:R33"/>
    <mergeCell ref="S32:S33"/>
    <mergeCell ref="T32:U33"/>
    <mergeCell ref="V32:W33"/>
    <mergeCell ref="E33:F33"/>
    <mergeCell ref="G33:H33"/>
    <mergeCell ref="I33:J33"/>
    <mergeCell ref="K33:M33"/>
    <mergeCell ref="A31:C31"/>
    <mergeCell ref="D31:G31"/>
    <mergeCell ref="H31:M31"/>
    <mergeCell ref="R31:T31"/>
    <mergeCell ref="U31:W31"/>
    <mergeCell ref="A32:D33"/>
    <mergeCell ref="E32:F32"/>
    <mergeCell ref="G32:H32"/>
    <mergeCell ref="I32:J32"/>
    <mergeCell ref="K32:M32"/>
    <mergeCell ref="N42:W43"/>
    <mergeCell ref="A44:B44"/>
    <mergeCell ref="C44:G44"/>
    <mergeCell ref="H44:K47"/>
    <mergeCell ref="L44:M44"/>
    <mergeCell ref="N44:W47"/>
    <mergeCell ref="A34:M34"/>
    <mergeCell ref="N34:W34"/>
    <mergeCell ref="A35:M40"/>
    <mergeCell ref="N35:W36"/>
    <mergeCell ref="N37:W40"/>
    <mergeCell ref="A41:W41"/>
    <mergeCell ref="A45:B45"/>
    <mergeCell ref="C45:G45"/>
    <mergeCell ref="L45:M46"/>
    <mergeCell ref="A46:B46"/>
    <mergeCell ref="C46:G46"/>
    <mergeCell ref="A47:B47"/>
    <mergeCell ref="C47:G47"/>
    <mergeCell ref="L47:M47"/>
    <mergeCell ref="A42:B43"/>
    <mergeCell ref="C42:G43"/>
    <mergeCell ref="H42:K43"/>
    <mergeCell ref="L42:M43"/>
    <mergeCell ref="M52:W52"/>
    <mergeCell ref="A53:B53"/>
    <mergeCell ref="C53:D53"/>
    <mergeCell ref="E53:F53"/>
    <mergeCell ref="G53:H53"/>
    <mergeCell ref="I53:J53"/>
    <mergeCell ref="K53:L53"/>
    <mergeCell ref="M53:W53"/>
    <mergeCell ref="A48:F48"/>
    <mergeCell ref="J48:O48"/>
    <mergeCell ref="S48:W48"/>
    <mergeCell ref="A50:W51"/>
    <mergeCell ref="A52:B52"/>
    <mergeCell ref="C52:D52"/>
    <mergeCell ref="E52:F52"/>
    <mergeCell ref="G52:H52"/>
    <mergeCell ref="I52:J52"/>
    <mergeCell ref="K52:L52"/>
    <mergeCell ref="M54:W54"/>
    <mergeCell ref="A55:B55"/>
    <mergeCell ref="C55:D55"/>
    <mergeCell ref="E55:F55"/>
    <mergeCell ref="G55:H55"/>
    <mergeCell ref="I55:J55"/>
    <mergeCell ref="K55:L55"/>
    <mergeCell ref="M55:W55"/>
    <mergeCell ref="A54:B54"/>
    <mergeCell ref="C54:D54"/>
    <mergeCell ref="E54:F54"/>
    <mergeCell ref="G54:H54"/>
    <mergeCell ref="I54:J54"/>
    <mergeCell ref="K54:L54"/>
    <mergeCell ref="M56:W56"/>
    <mergeCell ref="A57:B57"/>
    <mergeCell ref="C57:D57"/>
    <mergeCell ref="E57:F57"/>
    <mergeCell ref="G57:H57"/>
    <mergeCell ref="I57:J57"/>
    <mergeCell ref="K57:L57"/>
    <mergeCell ref="M57:W57"/>
    <mergeCell ref="A56:B56"/>
    <mergeCell ref="C56:D56"/>
    <mergeCell ref="E56:F56"/>
    <mergeCell ref="G56:H56"/>
    <mergeCell ref="I56:J56"/>
    <mergeCell ref="K56:L56"/>
    <mergeCell ref="M58:W58"/>
    <mergeCell ref="A59:B59"/>
    <mergeCell ref="C59:D59"/>
    <mergeCell ref="E59:F59"/>
    <mergeCell ref="G59:H59"/>
    <mergeCell ref="I59:J59"/>
    <mergeCell ref="K59:L59"/>
    <mergeCell ref="M59:W59"/>
    <mergeCell ref="A58:B58"/>
    <mergeCell ref="C58:D58"/>
    <mergeCell ref="E58:F58"/>
    <mergeCell ref="G58:H58"/>
    <mergeCell ref="I58:J58"/>
    <mergeCell ref="K58:L58"/>
    <mergeCell ref="M60:W60"/>
    <mergeCell ref="A61:B61"/>
    <mergeCell ref="C61:D61"/>
    <mergeCell ref="E61:F61"/>
    <mergeCell ref="G61:H61"/>
    <mergeCell ref="I61:J61"/>
    <mergeCell ref="K61:L61"/>
    <mergeCell ref="M61:W61"/>
    <mergeCell ref="A60:B60"/>
    <mergeCell ref="C60:D60"/>
    <mergeCell ref="E60:F60"/>
    <mergeCell ref="G60:H60"/>
    <mergeCell ref="I60:J60"/>
    <mergeCell ref="K60:L60"/>
    <mergeCell ref="M62:W62"/>
    <mergeCell ref="A63:B63"/>
    <mergeCell ref="C63:D63"/>
    <mergeCell ref="E63:F63"/>
    <mergeCell ref="G63:H63"/>
    <mergeCell ref="I63:J63"/>
    <mergeCell ref="K63:L63"/>
    <mergeCell ref="M63:W63"/>
    <mergeCell ref="A62:B62"/>
    <mergeCell ref="C62:D62"/>
    <mergeCell ref="E62:F62"/>
    <mergeCell ref="G62:H62"/>
    <mergeCell ref="I62:J62"/>
    <mergeCell ref="K62:L62"/>
    <mergeCell ref="M64:W64"/>
    <mergeCell ref="A65:B65"/>
    <mergeCell ref="C65:D65"/>
    <mergeCell ref="E65:F65"/>
    <mergeCell ref="G65:H65"/>
    <mergeCell ref="I65:J65"/>
    <mergeCell ref="K65:L65"/>
    <mergeCell ref="M65:W65"/>
    <mergeCell ref="A64:B64"/>
    <mergeCell ref="C64:D64"/>
    <mergeCell ref="E64:F64"/>
    <mergeCell ref="G64:H64"/>
    <mergeCell ref="I64:J64"/>
    <mergeCell ref="K64:L64"/>
    <mergeCell ref="M66:W66"/>
    <mergeCell ref="A67:B67"/>
    <mergeCell ref="C67:D67"/>
    <mergeCell ref="E67:F67"/>
    <mergeCell ref="G67:H67"/>
    <mergeCell ref="I67:J67"/>
    <mergeCell ref="K67:L67"/>
    <mergeCell ref="M67:W67"/>
    <mergeCell ref="A66:B66"/>
    <mergeCell ref="C66:D66"/>
    <mergeCell ref="E66:F66"/>
    <mergeCell ref="G66:H66"/>
    <mergeCell ref="I66:J66"/>
    <mergeCell ref="K66:L66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A72:W73"/>
    <mergeCell ref="A74:B75"/>
    <mergeCell ref="C74:D75"/>
    <mergeCell ref="E74:Q75"/>
    <mergeCell ref="R74:S75"/>
    <mergeCell ref="T74:U75"/>
    <mergeCell ref="V74:W75"/>
    <mergeCell ref="K69:L69"/>
    <mergeCell ref="M69:W69"/>
    <mergeCell ref="A70:B70"/>
    <mergeCell ref="C70:D70"/>
    <mergeCell ref="E70:F70"/>
    <mergeCell ref="G70:H70"/>
    <mergeCell ref="I70:J70"/>
    <mergeCell ref="K70:L70"/>
    <mergeCell ref="M70:W70"/>
    <mergeCell ref="A78:B80"/>
    <mergeCell ref="C78:D80"/>
    <mergeCell ref="E78:Q80"/>
    <mergeCell ref="R78:S80"/>
    <mergeCell ref="T78:U80"/>
    <mergeCell ref="V78:W80"/>
    <mergeCell ref="A76:B77"/>
    <mergeCell ref="C76:D77"/>
    <mergeCell ref="E76:Q77"/>
    <mergeCell ref="R76:S77"/>
    <mergeCell ref="T76:U77"/>
    <mergeCell ref="V76:W77"/>
    <mergeCell ref="A83:B84"/>
    <mergeCell ref="C83:D84"/>
    <mergeCell ref="E83:Q84"/>
    <mergeCell ref="R83:S84"/>
    <mergeCell ref="T83:U84"/>
    <mergeCell ref="V83:W84"/>
    <mergeCell ref="A81:B82"/>
    <mergeCell ref="C81:D82"/>
    <mergeCell ref="E81:Q82"/>
    <mergeCell ref="R81:S82"/>
    <mergeCell ref="T81:U82"/>
    <mergeCell ref="V81:W82"/>
    <mergeCell ref="A87:B88"/>
    <mergeCell ref="C87:D88"/>
    <mergeCell ref="E87:Q88"/>
    <mergeCell ref="R87:S88"/>
    <mergeCell ref="T87:U88"/>
    <mergeCell ref="V87:W88"/>
    <mergeCell ref="A85:B86"/>
    <mergeCell ref="C85:D86"/>
    <mergeCell ref="E85:Q86"/>
    <mergeCell ref="R85:S86"/>
    <mergeCell ref="T85:U86"/>
    <mergeCell ref="V85:W86"/>
  </mergeCells>
  <phoneticPr fontId="3" type="noConversion"/>
  <conditionalFormatting sqref="N21 J21">
    <cfRule type="cellIs" dxfId="0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:X50"/>
  <sheetViews>
    <sheetView showGridLines="0" showZeros="0" view="pageBreakPreview" zoomScale="85" zoomScaleNormal="85" zoomScaleSheetLayoutView="85" workbookViewId="0">
      <selection activeCell="F31" sqref="F31:M33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  <col min="24" max="24" width="0.88671875" customWidth="1"/>
  </cols>
  <sheetData>
    <row r="1" spans="1:24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761" t="s">
        <v>166</v>
      </c>
      <c r="J1" s="763" t="s">
        <v>167</v>
      </c>
      <c r="K1" s="764"/>
      <c r="L1" s="767"/>
      <c r="M1" s="768"/>
      <c r="N1" s="343" t="s">
        <v>6</v>
      </c>
      <c r="O1" s="344"/>
      <c r="P1" s="347" t="str">
        <f>sheet1!P1</f>
        <v>000000-00-00-00</v>
      </c>
      <c r="Q1" s="347"/>
      <c r="R1" s="347"/>
      <c r="S1" s="347"/>
      <c r="T1" s="347"/>
      <c r="U1" s="347"/>
      <c r="V1" s="347"/>
      <c r="W1" s="348"/>
      <c r="X1" s="68"/>
    </row>
    <row r="2" spans="1:24" ht="20.100000000000001" customHeight="1">
      <c r="A2" s="759"/>
      <c r="B2" s="760"/>
      <c r="C2" s="760"/>
      <c r="D2" s="760"/>
      <c r="E2" s="760"/>
      <c r="F2" s="760"/>
      <c r="G2" s="760"/>
      <c r="H2" s="760"/>
      <c r="I2" s="762"/>
      <c r="J2" s="765"/>
      <c r="K2" s="766"/>
      <c r="L2" s="769"/>
      <c r="M2" s="770"/>
      <c r="N2" s="747"/>
      <c r="O2" s="748"/>
      <c r="P2" s="749"/>
      <c r="Q2" s="749"/>
      <c r="R2" s="749"/>
      <c r="S2" s="749"/>
      <c r="T2" s="749"/>
      <c r="U2" s="749"/>
      <c r="V2" s="749"/>
      <c r="W2" s="750"/>
      <c r="X2" s="68"/>
    </row>
    <row r="3" spans="1:24" s="2" customFormat="1" ht="38.25" customHeight="1">
      <c r="A3" s="729" t="s">
        <v>108</v>
      </c>
      <c r="B3" s="730"/>
      <c r="C3" s="730"/>
      <c r="D3" s="751">
        <f>sheet1!D3</f>
        <v>0</v>
      </c>
      <c r="E3" s="752"/>
      <c r="F3" s="752"/>
      <c r="G3" s="752"/>
      <c r="H3" s="752"/>
      <c r="I3" s="752"/>
      <c r="J3" s="752"/>
      <c r="K3" s="753"/>
      <c r="L3" s="753"/>
      <c r="M3" s="754"/>
      <c r="N3" s="364" t="s">
        <v>107</v>
      </c>
      <c r="O3" s="364"/>
      <c r="P3" s="755" t="s">
        <v>120</v>
      </c>
      <c r="Q3" s="756"/>
      <c r="R3" s="756"/>
      <c r="S3" s="756"/>
      <c r="T3" s="756"/>
      <c r="U3" s="756"/>
      <c r="V3" s="756"/>
      <c r="W3" s="757"/>
      <c r="X3" s="67"/>
    </row>
    <row r="4" spans="1:24" s="2" customFormat="1" ht="24.95" customHeight="1">
      <c r="A4" s="363" t="s">
        <v>106</v>
      </c>
      <c r="B4" s="364"/>
      <c r="C4" s="731">
        <f>sheet1!C4</f>
        <v>0</v>
      </c>
      <c r="D4" s="731"/>
      <c r="E4" s="731"/>
      <c r="F4" s="731"/>
      <c r="G4" s="731"/>
      <c r="H4" s="364" t="s">
        <v>105</v>
      </c>
      <c r="I4" s="364"/>
      <c r="J4" s="364">
        <f>sheet1!J4</f>
        <v>0</v>
      </c>
      <c r="K4" s="364"/>
      <c r="L4" s="364"/>
      <c r="M4" s="364"/>
      <c r="N4" s="781" t="s">
        <v>104</v>
      </c>
      <c r="O4" s="364"/>
      <c r="P4" s="782">
        <f>sheet1!P4</f>
        <v>0</v>
      </c>
      <c r="Q4" s="782"/>
      <c r="R4" s="782"/>
      <c r="S4" s="782"/>
      <c r="T4" s="782"/>
      <c r="U4" s="782"/>
      <c r="V4" s="782"/>
      <c r="W4" s="783"/>
    </row>
    <row r="5" spans="1:24" s="2" customFormat="1" ht="24.95" customHeight="1" thickBot="1">
      <c r="A5" s="460" t="s">
        <v>103</v>
      </c>
      <c r="B5" s="461"/>
      <c r="C5" s="780">
        <f>sheet1!C5</f>
        <v>0</v>
      </c>
      <c r="D5" s="780"/>
      <c r="E5" s="780"/>
      <c r="F5" s="780"/>
      <c r="G5" s="780"/>
      <c r="H5" s="791" t="s">
        <v>102</v>
      </c>
      <c r="I5" s="791"/>
      <c r="J5" s="792">
        <f>sheet1!J5</f>
        <v>0</v>
      </c>
      <c r="K5" s="792"/>
      <c r="L5" s="792"/>
      <c r="M5" s="792"/>
      <c r="N5" s="791" t="s">
        <v>101</v>
      </c>
      <c r="O5" s="461"/>
      <c r="P5" s="784">
        <f>sheet1!YY5</f>
        <v>0</v>
      </c>
      <c r="Q5" s="784"/>
      <c r="R5" s="784"/>
      <c r="S5" s="784"/>
      <c r="T5" s="784"/>
      <c r="U5" s="784"/>
      <c r="V5" s="784"/>
      <c r="W5" s="785"/>
    </row>
    <row r="6" spans="1:24" s="2" customFormat="1" ht="16.5" customHeight="1">
      <c r="A6" s="469" t="s">
        <v>7</v>
      </c>
      <c r="B6" s="388"/>
      <c r="C6" s="470"/>
      <c r="D6" s="458" t="s">
        <v>7</v>
      </c>
      <c r="E6" s="388"/>
      <c r="F6" s="470"/>
      <c r="G6" s="458" t="s">
        <v>7</v>
      </c>
      <c r="H6" s="388"/>
      <c r="I6" s="470"/>
      <c r="J6" s="458" t="s">
        <v>7</v>
      </c>
      <c r="K6" s="388"/>
      <c r="L6" s="470"/>
      <c r="M6" s="458" t="s">
        <v>7</v>
      </c>
      <c r="N6" s="388"/>
      <c r="O6" s="470"/>
      <c r="P6" s="458" t="s">
        <v>7</v>
      </c>
      <c r="Q6" s="388"/>
      <c r="R6" s="459"/>
      <c r="S6" s="456" t="s">
        <v>169</v>
      </c>
      <c r="T6" s="786"/>
      <c r="U6" s="453">
        <f>sheet1!U6</f>
        <v>0</v>
      </c>
      <c r="V6" s="454"/>
      <c r="W6" s="455"/>
    </row>
    <row r="7" spans="1:24" s="2" customFormat="1" ht="16.5" customHeight="1">
      <c r="A7" s="787" t="s">
        <v>64</v>
      </c>
      <c r="B7" s="733" t="s">
        <v>65</v>
      </c>
      <c r="C7" s="734"/>
      <c r="D7" s="685" t="s">
        <v>66</v>
      </c>
      <c r="E7" s="733" t="s">
        <v>100</v>
      </c>
      <c r="F7" s="734"/>
      <c r="G7" s="685" t="s">
        <v>68</v>
      </c>
      <c r="H7" s="733" t="s">
        <v>81</v>
      </c>
      <c r="I7" s="734"/>
      <c r="J7" s="685"/>
      <c r="K7" s="733"/>
      <c r="L7" s="734"/>
      <c r="M7" s="685"/>
      <c r="N7" s="733"/>
      <c r="O7" s="734"/>
      <c r="P7" s="685"/>
      <c r="Q7" s="733"/>
      <c r="R7" s="742"/>
      <c r="S7" s="793" t="s">
        <v>171</v>
      </c>
      <c r="T7" s="794"/>
      <c r="U7" s="397">
        <f>sheet1!U7</f>
        <v>0</v>
      </c>
      <c r="V7" s="398"/>
      <c r="W7" s="399"/>
    </row>
    <row r="8" spans="1:24" s="2" customFormat="1" ht="16.5" customHeight="1">
      <c r="A8" s="410"/>
      <c r="B8" s="303"/>
      <c r="C8" s="735"/>
      <c r="D8" s="305"/>
      <c r="E8" s="303"/>
      <c r="F8" s="735"/>
      <c r="G8" s="305"/>
      <c r="H8" s="303"/>
      <c r="I8" s="735"/>
      <c r="J8" s="305"/>
      <c r="K8" s="303"/>
      <c r="L8" s="735"/>
      <c r="M8" s="305"/>
      <c r="N8" s="303"/>
      <c r="O8" s="735"/>
      <c r="P8" s="305"/>
      <c r="Q8" s="303"/>
      <c r="R8" s="743"/>
      <c r="S8" s="417" t="s">
        <v>139</v>
      </c>
      <c r="T8" s="795"/>
      <c r="U8" s="389"/>
      <c r="V8" s="390"/>
      <c r="W8" s="391"/>
    </row>
    <row r="9" spans="1:24" s="2" customFormat="1" ht="16.5" customHeight="1" thickBot="1">
      <c r="A9" s="319" t="s">
        <v>172</v>
      </c>
      <c r="B9" s="320"/>
      <c r="C9" s="320"/>
      <c r="D9" s="320"/>
      <c r="E9" s="771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796"/>
      <c r="T9" s="797"/>
      <c r="U9" s="798"/>
      <c r="V9" s="799"/>
      <c r="W9" s="800"/>
    </row>
    <row r="10" spans="1:24" s="4" customFormat="1" ht="15" customHeight="1">
      <c r="A10" s="677" t="s">
        <v>9</v>
      </c>
      <c r="B10" s="678"/>
      <c r="C10" s="678"/>
      <c r="D10" s="679" t="s">
        <v>144</v>
      </c>
      <c r="E10" s="680"/>
      <c r="F10" s="664" t="s">
        <v>175</v>
      </c>
      <c r="G10" s="666"/>
      <c r="H10" s="429" t="s">
        <v>140</v>
      </c>
      <c r="I10" s="430"/>
      <c r="J10" s="74"/>
      <c r="K10" s="664" t="s">
        <v>176</v>
      </c>
      <c r="L10" s="665"/>
      <c r="M10" s="666"/>
      <c r="N10" s="447" t="s">
        <v>177</v>
      </c>
      <c r="O10" s="448"/>
      <c r="P10" s="448"/>
      <c r="Q10" s="449"/>
      <c r="R10" s="772" t="s">
        <v>162</v>
      </c>
      <c r="S10" s="773"/>
      <c r="T10" s="773"/>
      <c r="U10" s="773"/>
      <c r="V10" s="773"/>
      <c r="W10" s="774"/>
    </row>
    <row r="11" spans="1:24" s="4" customFormat="1" ht="24" customHeight="1" thickBot="1">
      <c r="A11" s="673" t="s">
        <v>178</v>
      </c>
      <c r="B11" s="406"/>
      <c r="C11" s="406"/>
      <c r="D11" s="406"/>
      <c r="E11" s="407"/>
      <c r="F11" s="667"/>
      <c r="G11" s="669"/>
      <c r="H11" s="426"/>
      <c r="I11" s="427"/>
      <c r="J11" s="428"/>
      <c r="K11" s="667"/>
      <c r="L11" s="668"/>
      <c r="M11" s="669"/>
      <c r="N11" s="450"/>
      <c r="O11" s="451"/>
      <c r="P11" s="451"/>
      <c r="Q11" s="452"/>
      <c r="R11" s="775" t="s">
        <v>163</v>
      </c>
      <c r="S11" s="776"/>
      <c r="T11" s="777"/>
      <c r="U11" s="778" t="s">
        <v>164</v>
      </c>
      <c r="V11" s="776"/>
      <c r="W11" s="779"/>
    </row>
    <row r="12" spans="1:24" s="2" customFormat="1" ht="16.5" customHeight="1">
      <c r="A12" s="736" t="s">
        <v>63</v>
      </c>
      <c r="B12" s="737"/>
      <c r="C12" s="670" t="s">
        <v>133</v>
      </c>
      <c r="D12" s="671"/>
      <c r="E12" s="671"/>
      <c r="F12" s="672"/>
      <c r="G12" s="76"/>
      <c r="H12" s="76"/>
      <c r="I12" s="308" t="s">
        <v>222</v>
      </c>
      <c r="J12" s="309"/>
      <c r="K12" s="309"/>
      <c r="L12" s="309"/>
      <c r="M12" s="310"/>
      <c r="N12" s="76"/>
      <c r="O12" s="76"/>
      <c r="P12" s="76"/>
      <c r="Q12" s="76"/>
      <c r="R12" s="76"/>
      <c r="S12" s="76"/>
      <c r="T12" s="76"/>
      <c r="U12" s="83"/>
      <c r="V12" s="83"/>
      <c r="W12" s="84"/>
    </row>
    <row r="13" spans="1:24" s="2" customFormat="1" ht="16.5" customHeight="1">
      <c r="A13" s="738"/>
      <c r="B13" s="739"/>
      <c r="C13" s="788" t="s">
        <v>184</v>
      </c>
      <c r="D13" s="789"/>
      <c r="E13" s="789"/>
      <c r="F13" s="790"/>
      <c r="G13" s="76"/>
      <c r="H13" s="76"/>
      <c r="I13" s="719" t="s">
        <v>1</v>
      </c>
      <c r="J13" s="720"/>
      <c r="K13" s="723" t="s">
        <v>26</v>
      </c>
      <c r="L13" s="724"/>
      <c r="M13" s="725"/>
      <c r="N13" s="76"/>
      <c r="O13" s="76"/>
      <c r="P13" s="76"/>
      <c r="Q13" s="76"/>
      <c r="R13" s="76"/>
      <c r="S13" s="76"/>
      <c r="T13" s="76"/>
      <c r="U13" s="83"/>
      <c r="V13" s="83"/>
      <c r="W13" s="84"/>
    </row>
    <row r="14" spans="1:24" s="2" customFormat="1" ht="16.5" customHeight="1" thickBot="1">
      <c r="A14" s="740"/>
      <c r="B14" s="741"/>
      <c r="C14" s="460" t="s">
        <v>185</v>
      </c>
      <c r="D14" s="461"/>
      <c r="E14" s="461"/>
      <c r="F14" s="682"/>
      <c r="G14" s="76"/>
      <c r="H14" s="76"/>
      <c r="I14" s="721"/>
      <c r="J14" s="722"/>
      <c r="K14" s="726"/>
      <c r="L14" s="727"/>
      <c r="M14" s="728"/>
      <c r="N14" s="76"/>
      <c r="O14" s="76"/>
      <c r="P14" s="76"/>
      <c r="Q14" s="76"/>
      <c r="R14" s="76"/>
      <c r="S14" s="76"/>
      <c r="T14" s="76"/>
      <c r="U14" s="83"/>
      <c r="V14" s="83"/>
      <c r="W14" s="84"/>
    </row>
    <row r="15" spans="1:24" s="4" customFormat="1" ht="9.9499999999999993" customHeight="1" thickBot="1">
      <c r="A15" s="80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276"/>
      <c r="T15" s="276"/>
      <c r="U15" s="276"/>
      <c r="V15" s="276"/>
      <c r="W15" s="277"/>
      <c r="X15" s="57"/>
    </row>
    <row r="16" spans="1:24" s="4" customFormat="1" ht="9.9499999999999993" customHeight="1">
      <c r="A16" s="80"/>
      <c r="B16" s="238"/>
      <c r="C16" s="239"/>
      <c r="D16" s="86"/>
      <c r="G16" s="78"/>
      <c r="H16" s="239"/>
      <c r="I16" s="657"/>
      <c r="J16" s="657"/>
      <c r="K16" s="238"/>
      <c r="L16" s="239"/>
      <c r="M16" s="7"/>
      <c r="N16" s="7"/>
      <c r="O16" s="657"/>
      <c r="P16" s="657"/>
      <c r="Q16" s="7"/>
      <c r="R16" s="7"/>
      <c r="S16" s="657"/>
      <c r="T16" s="657"/>
      <c r="U16" s="297"/>
      <c r="V16" s="297"/>
      <c r="W16" s="298"/>
      <c r="X16" s="56"/>
    </row>
    <row r="17" spans="1:24" s="4" customFormat="1" ht="9.9499999999999993" customHeight="1" thickBot="1">
      <c r="A17" s="80"/>
      <c r="B17" s="240"/>
      <c r="C17" s="241"/>
      <c r="D17" s="86"/>
      <c r="G17" s="81"/>
      <c r="H17" s="241"/>
      <c r="I17" s="657"/>
      <c r="J17" s="657"/>
      <c r="K17" s="240"/>
      <c r="L17" s="241"/>
      <c r="M17" s="7"/>
      <c r="N17" s="7"/>
      <c r="O17" s="657"/>
      <c r="P17" s="657"/>
      <c r="Q17" s="7"/>
      <c r="R17" s="7"/>
      <c r="S17" s="657"/>
      <c r="T17" s="657"/>
      <c r="U17" s="297"/>
      <c r="V17" s="297"/>
      <c r="W17" s="298"/>
      <c r="X17" s="56"/>
    </row>
    <row r="18" spans="1:24" s="4" customFormat="1" ht="15" customHeight="1">
      <c r="A18" s="80"/>
      <c r="B18" s="79"/>
      <c r="C18" s="86"/>
      <c r="D18" s="86"/>
      <c r="E18" s="86"/>
      <c r="F18" s="5"/>
      <c r="G18" s="7"/>
      <c r="H18" s="7"/>
      <c r="I18" s="86"/>
      <c r="J18" s="86"/>
      <c r="K18" s="86"/>
      <c r="L18" s="82"/>
      <c r="M18" s="86"/>
      <c r="N18" s="86"/>
      <c r="O18" s="86"/>
      <c r="P18" s="86"/>
      <c r="Q18" s="86"/>
      <c r="R18" s="86"/>
      <c r="S18" s="657"/>
      <c r="T18" s="657"/>
      <c r="U18" s="297"/>
      <c r="V18" s="297"/>
      <c r="W18" s="298"/>
      <c r="X18" s="56"/>
    </row>
    <row r="19" spans="1:24" s="4" customFormat="1" ht="15.95" customHeight="1" thickBot="1">
      <c r="A19" s="80"/>
      <c r="B19" s="82"/>
      <c r="C19" s="86"/>
      <c r="D19" s="86"/>
      <c r="E19" s="86"/>
      <c r="F19" s="77"/>
      <c r="G19" s="427" t="s">
        <v>192</v>
      </c>
      <c r="H19" s="427"/>
      <c r="I19" s="427"/>
      <c r="J19" s="427"/>
      <c r="K19" s="427"/>
      <c r="L19" s="475"/>
      <c r="M19" s="86"/>
      <c r="N19" s="86"/>
      <c r="O19" s="86"/>
      <c r="P19" s="86"/>
      <c r="Q19" s="86"/>
      <c r="R19" s="86"/>
      <c r="S19" s="657"/>
      <c r="T19" s="657"/>
      <c r="U19" s="297"/>
      <c r="V19" s="297"/>
      <c r="W19" s="298"/>
      <c r="X19" s="56"/>
    </row>
    <row r="20" spans="1:24" s="4" customFormat="1" ht="15.95" customHeight="1" thickBot="1">
      <c r="A20" s="675" t="s">
        <v>186</v>
      </c>
      <c r="B20" s="676"/>
      <c r="C20" s="87"/>
      <c r="D20" s="272"/>
      <c r="E20" s="272"/>
      <c r="F20" s="186"/>
      <c r="G20" s="744" t="s">
        <v>187</v>
      </c>
      <c r="H20" s="430"/>
      <c r="I20" s="430"/>
      <c r="J20" s="430"/>
      <c r="K20" s="430"/>
      <c r="L20" s="745"/>
      <c r="M20" s="487"/>
      <c r="N20" s="746"/>
      <c r="O20" s="276"/>
      <c r="P20" s="276"/>
      <c r="Q20" s="276"/>
      <c r="R20" s="76"/>
      <c r="S20" s="657"/>
      <c r="T20" s="657"/>
      <c r="U20" s="297"/>
      <c r="V20" s="297"/>
      <c r="W20" s="298"/>
      <c r="X20" s="56"/>
    </row>
    <row r="21" spans="1:24" s="4" customFormat="1" ht="15.95" customHeight="1" thickBot="1">
      <c r="A21" s="675"/>
      <c r="B21" s="676"/>
      <c r="C21" s="86"/>
      <c r="D21" s="275"/>
      <c r="E21" s="276"/>
      <c r="F21" s="277"/>
      <c r="G21" s="275"/>
      <c r="H21" s="276"/>
      <c r="I21" s="276"/>
      <c r="J21" s="275"/>
      <c r="K21" s="276"/>
      <c r="L21" s="277"/>
      <c r="M21" s="86"/>
      <c r="N21" s="82"/>
      <c r="O21" s="703"/>
      <c r="P21" s="656"/>
      <c r="Q21" s="656"/>
      <c r="R21" s="706"/>
      <c r="S21" s="707"/>
      <c r="T21" s="708"/>
      <c r="U21" s="66"/>
      <c r="V21" s="66"/>
      <c r="W21" s="65"/>
      <c r="X21" s="56"/>
    </row>
    <row r="22" spans="1:24" s="4" customFormat="1" ht="15.95" customHeight="1">
      <c r="A22" s="675"/>
      <c r="B22" s="676"/>
      <c r="C22" s="86"/>
      <c r="D22" s="275"/>
      <c r="E22" s="276"/>
      <c r="F22" s="277"/>
      <c r="G22" s="275" t="s">
        <v>188</v>
      </c>
      <c r="H22" s="276"/>
      <c r="I22" s="276"/>
      <c r="J22" s="276"/>
      <c r="K22" s="276"/>
      <c r="L22" s="277"/>
      <c r="M22" s="86"/>
      <c r="N22" s="82"/>
      <c r="O22" s="703"/>
      <c r="P22" s="656"/>
      <c r="Q22" s="656"/>
      <c r="R22" s="6"/>
      <c r="S22" s="7"/>
      <c r="T22" s="7"/>
      <c r="U22" s="66"/>
      <c r="V22" s="66"/>
      <c r="W22" s="65"/>
      <c r="X22" s="69"/>
    </row>
    <row r="23" spans="1:24" s="4" customFormat="1" ht="6" customHeight="1" thickBot="1">
      <c r="A23" s="675"/>
      <c r="B23" s="676"/>
      <c r="C23" s="86"/>
      <c r="D23" s="75"/>
      <c r="E23" s="76"/>
      <c r="F23" s="77"/>
      <c r="G23" s="75"/>
      <c r="H23" s="76"/>
      <c r="I23" s="76"/>
      <c r="J23" s="75"/>
      <c r="K23" s="76"/>
      <c r="L23" s="77"/>
      <c r="M23" s="86"/>
      <c r="N23" s="82"/>
      <c r="O23" s="703"/>
      <c r="P23" s="656"/>
      <c r="Q23" s="656"/>
      <c r="R23" s="6"/>
      <c r="S23" s="7"/>
      <c r="T23" s="7"/>
      <c r="U23" s="66"/>
      <c r="V23" s="66"/>
      <c r="W23" s="65"/>
      <c r="X23" s="69"/>
    </row>
    <row r="24" spans="1:24" s="4" customFormat="1" ht="15.95" customHeight="1">
      <c r="A24" s="675"/>
      <c r="B24" s="676"/>
      <c r="C24" s="86"/>
      <c r="D24" s="674" t="s">
        <v>189</v>
      </c>
      <c r="E24" s="276"/>
      <c r="F24" s="277"/>
      <c r="G24" s="709" t="s">
        <v>190</v>
      </c>
      <c r="H24" s="710"/>
      <c r="I24" s="710"/>
      <c r="J24" s="710"/>
      <c r="K24" s="710"/>
      <c r="L24" s="711"/>
      <c r="M24" s="758" t="s">
        <v>189</v>
      </c>
      <c r="N24" s="273"/>
      <c r="O24" s="703"/>
      <c r="P24" s="656"/>
      <c r="Q24" s="656"/>
      <c r="R24" s="6"/>
      <c r="S24" s="712" t="s">
        <v>191</v>
      </c>
      <c r="T24" s="713"/>
      <c r="U24" s="714"/>
      <c r="V24" s="66"/>
      <c r="W24" s="65"/>
      <c r="X24" s="56"/>
    </row>
    <row r="25" spans="1:24" s="4" customFormat="1" ht="15.95" customHeight="1">
      <c r="A25" s="675"/>
      <c r="B25" s="676"/>
      <c r="C25" s="86"/>
      <c r="D25" s="75"/>
      <c r="E25" s="76"/>
      <c r="F25" s="76"/>
      <c r="G25" s="85"/>
      <c r="H25" s="85"/>
      <c r="I25" s="85"/>
      <c r="J25" s="85"/>
      <c r="K25" s="85"/>
      <c r="L25" s="85"/>
      <c r="M25" s="86"/>
      <c r="N25" s="86"/>
      <c r="O25" s="76"/>
      <c r="P25" s="76"/>
      <c r="Q25" s="76"/>
      <c r="R25" s="7"/>
      <c r="S25" s="715"/>
      <c r="T25" s="704"/>
      <c r="U25" s="705"/>
      <c r="V25" s="66"/>
      <c r="W25" s="65"/>
      <c r="X25" s="69"/>
    </row>
    <row r="26" spans="1:24" s="4" customFormat="1" ht="15.95" customHeight="1" thickBot="1">
      <c r="A26" s="236"/>
      <c r="B26" s="684"/>
      <c r="C26" s="684"/>
      <c r="D26" s="683"/>
      <c r="E26" s="683"/>
      <c r="F26" s="683"/>
      <c r="G26" s="683"/>
      <c r="H26" s="683"/>
      <c r="I26" s="683"/>
      <c r="J26" s="683"/>
      <c r="K26" s="683"/>
      <c r="L26" s="683"/>
      <c r="M26" s="683"/>
      <c r="N26" s="683"/>
      <c r="O26" s="683"/>
      <c r="P26" s="683"/>
      <c r="Q26" s="683"/>
      <c r="R26" s="7"/>
      <c r="S26" s="716"/>
      <c r="T26" s="717"/>
      <c r="U26" s="718"/>
      <c r="V26" s="66"/>
      <c r="W26" s="65"/>
      <c r="X26" s="56"/>
    </row>
    <row r="27" spans="1:24" s="4" customFormat="1" ht="15.95" customHeight="1">
      <c r="A27" s="236"/>
      <c r="B27" s="657"/>
      <c r="C27" s="657"/>
      <c r="D27" s="683"/>
      <c r="E27" s="683"/>
      <c r="F27" s="683"/>
      <c r="G27" s="683"/>
      <c r="H27" s="683"/>
      <c r="I27" s="683"/>
      <c r="J27" s="683"/>
      <c r="K27" s="683"/>
      <c r="L27" s="683"/>
      <c r="M27" s="683"/>
      <c r="N27" s="683"/>
      <c r="O27" s="683"/>
      <c r="P27" s="683"/>
      <c r="Q27" s="683"/>
      <c r="R27" s="7"/>
      <c r="S27" s="7"/>
      <c r="T27" s="7"/>
      <c r="U27" s="704"/>
      <c r="V27" s="704"/>
      <c r="W27" s="705"/>
      <c r="X27" s="56"/>
    </row>
    <row r="28" spans="1:24" s="4" customFormat="1" ht="15.95" customHeight="1">
      <c r="A28" s="236"/>
      <c r="B28" s="657"/>
      <c r="C28" s="657"/>
      <c r="D28" s="683"/>
      <c r="E28" s="683"/>
      <c r="F28" s="683"/>
      <c r="G28" s="683"/>
      <c r="H28" s="683"/>
      <c r="I28" s="683"/>
      <c r="J28" s="683"/>
      <c r="K28" s="683"/>
      <c r="L28" s="683"/>
      <c r="M28" s="683"/>
      <c r="N28" s="683"/>
      <c r="O28" s="683"/>
      <c r="P28" s="683"/>
      <c r="Q28" s="683"/>
      <c r="R28" s="7"/>
      <c r="S28" s="7"/>
      <c r="T28" s="7"/>
      <c r="U28" s="704"/>
      <c r="V28" s="704"/>
      <c r="W28" s="705"/>
      <c r="X28" s="64"/>
    </row>
    <row r="29" spans="1:24" s="4" customFormat="1" ht="15.95" customHeight="1">
      <c r="A29" s="236"/>
      <c r="B29" s="657"/>
      <c r="C29" s="657"/>
      <c r="D29" s="276"/>
      <c r="E29" s="276"/>
      <c r="F29" s="276"/>
      <c r="G29" s="276"/>
      <c r="H29" s="276"/>
      <c r="I29" s="276"/>
      <c r="J29" s="276"/>
      <c r="K29" s="276"/>
      <c r="L29" s="276"/>
      <c r="M29" s="276"/>
      <c r="N29" s="276"/>
      <c r="O29" s="276"/>
      <c r="P29" s="276"/>
      <c r="Q29" s="276"/>
      <c r="R29" s="7"/>
      <c r="S29" s="7"/>
      <c r="T29" s="7"/>
      <c r="U29" s="704"/>
      <c r="V29" s="704"/>
      <c r="W29" s="705"/>
      <c r="X29" s="63"/>
    </row>
    <row r="30" spans="1:24" s="4" customFormat="1" ht="15.95" customHeight="1">
      <c r="A30" s="492"/>
      <c r="B30" s="493"/>
      <c r="C30" s="493"/>
      <c r="D30" s="493"/>
      <c r="E30" s="493"/>
      <c r="F30" s="493"/>
      <c r="G30" s="493"/>
      <c r="H30" s="493"/>
      <c r="I30" s="493"/>
      <c r="J30" s="493"/>
      <c r="K30" s="493"/>
      <c r="L30" s="493"/>
      <c r="M30" s="493"/>
      <c r="N30" s="493"/>
      <c r="O30" s="493"/>
      <c r="P30" s="493"/>
      <c r="Q30" s="493"/>
      <c r="R30" s="493"/>
      <c r="S30" s="493"/>
      <c r="T30" s="493"/>
      <c r="U30" s="493"/>
      <c r="V30" s="493"/>
      <c r="W30" s="732"/>
      <c r="X30" s="57"/>
    </row>
    <row r="31" spans="1:24" s="4" customFormat="1" ht="20.100000000000001" customHeight="1">
      <c r="A31" s="187" t="s">
        <v>63</v>
      </c>
      <c r="B31" s="188"/>
      <c r="C31" s="222" t="s">
        <v>72</v>
      </c>
      <c r="D31" s="223"/>
      <c r="E31" s="233"/>
      <c r="F31" s="681"/>
      <c r="G31" s="681"/>
      <c r="H31" s="681"/>
      <c r="I31" s="681"/>
      <c r="J31" s="681"/>
      <c r="K31" s="681"/>
      <c r="L31" s="681"/>
      <c r="M31" s="681"/>
      <c r="N31" s="539" t="s">
        <v>80</v>
      </c>
      <c r="O31" s="539"/>
      <c r="P31" s="539"/>
      <c r="Q31" s="539"/>
      <c r="R31" s="539"/>
      <c r="S31" s="197" t="s">
        <v>97</v>
      </c>
      <c r="T31" s="199" t="s">
        <v>81</v>
      </c>
      <c r="U31" s="200"/>
      <c r="V31" s="199" t="s">
        <v>82</v>
      </c>
      <c r="W31" s="537"/>
    </row>
    <row r="32" spans="1:24" s="4" customFormat="1" ht="20.100000000000001" customHeight="1">
      <c r="A32" s="189"/>
      <c r="B32" s="190"/>
      <c r="C32" s="325" t="s">
        <v>132</v>
      </c>
      <c r="D32" s="326"/>
      <c r="E32" s="326"/>
      <c r="F32" s="681"/>
      <c r="G32" s="681"/>
      <c r="H32" s="681"/>
      <c r="I32" s="681"/>
      <c r="J32" s="681"/>
      <c r="K32" s="681"/>
      <c r="L32" s="681"/>
      <c r="M32" s="681"/>
      <c r="N32" s="539"/>
      <c r="O32" s="539"/>
      <c r="P32" s="539"/>
      <c r="Q32" s="539"/>
      <c r="R32" s="539"/>
      <c r="S32" s="197"/>
      <c r="T32" s="199"/>
      <c r="U32" s="200"/>
      <c r="V32" s="199"/>
      <c r="W32" s="537"/>
    </row>
    <row r="33" spans="1:24" s="19" customFormat="1" ht="17.100000000000001" customHeight="1">
      <c r="A33" s="191"/>
      <c r="B33" s="192"/>
      <c r="C33" s="327" t="s">
        <v>131</v>
      </c>
      <c r="D33" s="328"/>
      <c r="E33" s="328"/>
      <c r="F33" s="681"/>
      <c r="G33" s="681"/>
      <c r="H33" s="681"/>
      <c r="I33" s="681"/>
      <c r="J33" s="681"/>
      <c r="K33" s="681"/>
      <c r="L33" s="681"/>
      <c r="M33" s="681"/>
      <c r="N33" s="539"/>
      <c r="O33" s="539"/>
      <c r="P33" s="539"/>
      <c r="Q33" s="539"/>
      <c r="R33" s="539"/>
      <c r="S33" s="197"/>
      <c r="T33" s="199"/>
      <c r="U33" s="200"/>
      <c r="V33" s="199"/>
      <c r="W33" s="537"/>
    </row>
    <row r="34" spans="1:24" s="19" customFormat="1" ht="17.100000000000001" customHeight="1">
      <c r="A34" s="688" t="s">
        <v>47</v>
      </c>
      <c r="B34" s="689"/>
      <c r="C34" s="689"/>
      <c r="D34" s="689"/>
      <c r="E34" s="689"/>
      <c r="F34" s="689"/>
      <c r="G34" s="689"/>
      <c r="H34" s="689"/>
      <c r="I34" s="689"/>
      <c r="J34" s="689"/>
      <c r="K34" s="689"/>
      <c r="L34" s="689"/>
      <c r="M34" s="689"/>
      <c r="N34" s="690" t="s">
        <v>87</v>
      </c>
      <c r="O34" s="690"/>
      <c r="P34" s="690"/>
      <c r="Q34" s="690"/>
      <c r="R34" s="690"/>
      <c r="S34" s="690"/>
      <c r="T34" s="690"/>
      <c r="U34" s="690"/>
      <c r="V34" s="690"/>
      <c r="W34" s="691"/>
    </row>
    <row r="35" spans="1:24" s="19" customFormat="1" ht="17.100000000000001" customHeight="1">
      <c r="A35" s="557" t="s">
        <v>180</v>
      </c>
      <c r="B35" s="558"/>
      <c r="C35" s="558"/>
      <c r="D35" s="558"/>
      <c r="E35" s="558"/>
      <c r="F35" s="558"/>
      <c r="G35" s="558"/>
      <c r="H35" s="558"/>
      <c r="I35" s="558"/>
      <c r="J35" s="558"/>
      <c r="K35" s="558"/>
      <c r="L35" s="558"/>
      <c r="M35" s="559"/>
      <c r="N35" s="693"/>
      <c r="O35" s="566"/>
      <c r="P35" s="566"/>
      <c r="Q35" s="566"/>
      <c r="R35" s="566"/>
      <c r="S35" s="566"/>
      <c r="T35" s="566"/>
      <c r="U35" s="566"/>
      <c r="V35" s="566"/>
      <c r="W35" s="567"/>
    </row>
    <row r="36" spans="1:24" s="19" customFormat="1" ht="17.100000000000001" customHeight="1">
      <c r="A36" s="560"/>
      <c r="B36" s="561"/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2"/>
      <c r="N36" s="568"/>
      <c r="O36" s="569"/>
      <c r="P36" s="569"/>
      <c r="Q36" s="569"/>
      <c r="R36" s="569"/>
      <c r="S36" s="569"/>
      <c r="T36" s="569"/>
      <c r="U36" s="569"/>
      <c r="V36" s="569"/>
      <c r="W36" s="570"/>
    </row>
    <row r="37" spans="1:24" s="19" customFormat="1" ht="15" customHeight="1">
      <c r="A37" s="560"/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2"/>
      <c r="N37" s="694"/>
      <c r="O37" s="695"/>
      <c r="P37" s="695"/>
      <c r="Q37" s="695"/>
      <c r="R37" s="695"/>
      <c r="S37" s="695"/>
      <c r="T37" s="695"/>
      <c r="U37" s="695"/>
      <c r="V37" s="695"/>
      <c r="W37" s="696"/>
    </row>
    <row r="38" spans="1:24" s="19" customFormat="1" ht="15" customHeight="1">
      <c r="A38" s="560"/>
      <c r="B38" s="561"/>
      <c r="C38" s="561"/>
      <c r="D38" s="561"/>
      <c r="E38" s="561"/>
      <c r="F38" s="561"/>
      <c r="G38" s="561"/>
      <c r="H38" s="561"/>
      <c r="I38" s="561"/>
      <c r="J38" s="561"/>
      <c r="K38" s="561"/>
      <c r="L38" s="561"/>
      <c r="M38" s="562"/>
      <c r="N38" s="697"/>
      <c r="O38" s="698"/>
      <c r="P38" s="698"/>
      <c r="Q38" s="698"/>
      <c r="R38" s="698"/>
      <c r="S38" s="698"/>
      <c r="T38" s="698"/>
      <c r="U38" s="698"/>
      <c r="V38" s="698"/>
      <c r="W38" s="699"/>
    </row>
    <row r="39" spans="1:24" s="19" customFormat="1" ht="15" customHeight="1">
      <c r="A39" s="560"/>
      <c r="B39" s="561"/>
      <c r="C39" s="561"/>
      <c r="D39" s="561"/>
      <c r="E39" s="561"/>
      <c r="F39" s="561"/>
      <c r="G39" s="561"/>
      <c r="H39" s="561"/>
      <c r="I39" s="561"/>
      <c r="J39" s="561"/>
      <c r="K39" s="561"/>
      <c r="L39" s="561"/>
      <c r="M39" s="562"/>
      <c r="N39" s="697"/>
      <c r="O39" s="698"/>
      <c r="P39" s="698"/>
      <c r="Q39" s="698"/>
      <c r="R39" s="698"/>
      <c r="S39" s="698"/>
      <c r="T39" s="698"/>
      <c r="U39" s="698"/>
      <c r="V39" s="698"/>
      <c r="W39" s="699"/>
    </row>
    <row r="40" spans="1:24" s="19" customFormat="1" ht="33.75" customHeight="1">
      <c r="A40" s="563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5"/>
      <c r="N40" s="700"/>
      <c r="O40" s="701"/>
      <c r="P40" s="701"/>
      <c r="Q40" s="701"/>
      <c r="R40" s="701"/>
      <c r="S40" s="701"/>
      <c r="T40" s="701"/>
      <c r="U40" s="701"/>
      <c r="V40" s="701"/>
      <c r="W40" s="702"/>
    </row>
    <row r="41" spans="1:24" s="19" customFormat="1" ht="15" customHeight="1">
      <c r="A41" s="434" t="s">
        <v>202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4" s="19" customFormat="1" ht="15" customHeight="1">
      <c r="A42" s="62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4" s="19" customFormat="1" ht="15" customHeight="1">
      <c r="A43" s="62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4" s="19" customFormat="1" ht="15" customHeight="1">
      <c r="A44" s="62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4" s="19" customFormat="1" ht="18" customHeight="1">
      <c r="A45" s="62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</row>
    <row r="46" spans="1:24" s="19" customFormat="1" ht="15.75" customHeight="1">
      <c r="A46" s="62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4" s="19" customFormat="1" ht="15.75" customHeight="1" thickBot="1">
      <c r="A47" s="62"/>
      <c r="B47" s="61"/>
      <c r="C47" s="61"/>
      <c r="D47" s="61"/>
      <c r="E47" s="61"/>
      <c r="F47" s="60"/>
      <c r="G47" s="60"/>
      <c r="H47" s="60"/>
      <c r="I47" s="60"/>
      <c r="J47" s="60"/>
      <c r="K47" s="61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4" s="19" customFormat="1" ht="12.95" customHeight="1">
      <c r="A48" s="686" t="s">
        <v>49</v>
      </c>
      <c r="B48" s="686"/>
      <c r="C48" s="686"/>
      <c r="D48" s="686"/>
      <c r="E48" s="686"/>
      <c r="F48" s="431"/>
      <c r="G48" s="20"/>
      <c r="H48" s="20"/>
      <c r="I48" s="20"/>
      <c r="J48" s="169" t="s">
        <v>99</v>
      </c>
      <c r="K48" s="687"/>
      <c r="L48" s="687"/>
      <c r="M48" s="687"/>
      <c r="N48" s="169"/>
      <c r="O48" s="169"/>
      <c r="P48" s="58"/>
      <c r="Q48" s="58"/>
      <c r="R48" s="58"/>
      <c r="S48" s="692" t="s">
        <v>51</v>
      </c>
      <c r="T48" s="692"/>
      <c r="U48" s="692"/>
      <c r="V48" s="692"/>
      <c r="W48" s="692"/>
      <c r="X48" s="59"/>
    </row>
    <row r="49" spans="1:24" s="19" customFormat="1" ht="12.95" customHeigh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X49" s="59"/>
    </row>
    <row r="50" spans="1:24" s="2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/>
      <c r="V50"/>
      <c r="W50"/>
    </row>
  </sheetData>
  <mergeCells count="130">
    <mergeCell ref="N4:O4"/>
    <mergeCell ref="P4:W4"/>
    <mergeCell ref="P5:W5"/>
    <mergeCell ref="S15:W15"/>
    <mergeCell ref="O16:P17"/>
    <mergeCell ref="S16:T17"/>
    <mergeCell ref="S6:T6"/>
    <mergeCell ref="U6:W6"/>
    <mergeCell ref="A7:A8"/>
    <mergeCell ref="C13:F13"/>
    <mergeCell ref="D7:D8"/>
    <mergeCell ref="A6:C6"/>
    <mergeCell ref="D6:F6"/>
    <mergeCell ref="G6:I6"/>
    <mergeCell ref="J6:L6"/>
    <mergeCell ref="H5:I5"/>
    <mergeCell ref="J5:M5"/>
    <mergeCell ref="N5:O5"/>
    <mergeCell ref="B7:C8"/>
    <mergeCell ref="N7:O8"/>
    <mergeCell ref="P7:P8"/>
    <mergeCell ref="S7:T7"/>
    <mergeCell ref="S8:T9"/>
    <mergeCell ref="U8:W9"/>
    <mergeCell ref="N1:O2"/>
    <mergeCell ref="P1:W2"/>
    <mergeCell ref="D3:M3"/>
    <mergeCell ref="P3:W3"/>
    <mergeCell ref="M24:N24"/>
    <mergeCell ref="D22:F22"/>
    <mergeCell ref="A1:H2"/>
    <mergeCell ref="I1:I2"/>
    <mergeCell ref="J1:K2"/>
    <mergeCell ref="L1:M2"/>
    <mergeCell ref="M6:O6"/>
    <mergeCell ref="P6:R6"/>
    <mergeCell ref="A9:E9"/>
    <mergeCell ref="F9:L9"/>
    <mergeCell ref="M9:R9"/>
    <mergeCell ref="N10:Q11"/>
    <mergeCell ref="R10:W10"/>
    <mergeCell ref="R11:T11"/>
    <mergeCell ref="U11:W11"/>
    <mergeCell ref="K7:L8"/>
    <mergeCell ref="A5:B5"/>
    <mergeCell ref="C5:G5"/>
    <mergeCell ref="K16:L17"/>
    <mergeCell ref="H4:I4"/>
    <mergeCell ref="A3:C3"/>
    <mergeCell ref="N3:O3"/>
    <mergeCell ref="A4:B4"/>
    <mergeCell ref="C4:G4"/>
    <mergeCell ref="A30:W30"/>
    <mergeCell ref="E7:F8"/>
    <mergeCell ref="G7:G8"/>
    <mergeCell ref="H7:I8"/>
    <mergeCell ref="J7:J8"/>
    <mergeCell ref="A12:B14"/>
    <mergeCell ref="B16:C17"/>
    <mergeCell ref="D26:Q26"/>
    <mergeCell ref="D21:F21"/>
    <mergeCell ref="G21:I21"/>
    <mergeCell ref="J21:L21"/>
    <mergeCell ref="H16:H17"/>
    <mergeCell ref="Q7:R8"/>
    <mergeCell ref="G20:L20"/>
    <mergeCell ref="M20:N20"/>
    <mergeCell ref="O20:Q20"/>
    <mergeCell ref="A28:C28"/>
    <mergeCell ref="D28:Q28"/>
    <mergeCell ref="A29:C29"/>
    <mergeCell ref="J4:M4"/>
    <mergeCell ref="S18:T18"/>
    <mergeCell ref="U18:W18"/>
    <mergeCell ref="U27:W29"/>
    <mergeCell ref="D20:F20"/>
    <mergeCell ref="R21:T21"/>
    <mergeCell ref="G22:L22"/>
    <mergeCell ref="G24:L24"/>
    <mergeCell ref="S24:U26"/>
    <mergeCell ref="I13:J14"/>
    <mergeCell ref="K13:M14"/>
    <mergeCell ref="U7:W7"/>
    <mergeCell ref="D29:Q29"/>
    <mergeCell ref="D27:Q27"/>
    <mergeCell ref="A26:C26"/>
    <mergeCell ref="A27:C27"/>
    <mergeCell ref="M7:M8"/>
    <mergeCell ref="A48:F48"/>
    <mergeCell ref="J48:O48"/>
    <mergeCell ref="A41:W41"/>
    <mergeCell ref="S31:S33"/>
    <mergeCell ref="T31:U33"/>
    <mergeCell ref="A35:M40"/>
    <mergeCell ref="A34:M34"/>
    <mergeCell ref="N34:W34"/>
    <mergeCell ref="A31:B33"/>
    <mergeCell ref="C31:E31"/>
    <mergeCell ref="C32:E32"/>
    <mergeCell ref="C33:E33"/>
    <mergeCell ref="S48:W48"/>
    <mergeCell ref="N35:W36"/>
    <mergeCell ref="N37:W40"/>
    <mergeCell ref="V31:W33"/>
    <mergeCell ref="N31:R33"/>
    <mergeCell ref="O21:Q24"/>
    <mergeCell ref="L42:M43"/>
    <mergeCell ref="N42:W43"/>
    <mergeCell ref="L44:M44"/>
    <mergeCell ref="N44:W47"/>
    <mergeCell ref="L45:M46"/>
    <mergeCell ref="L47:M47"/>
    <mergeCell ref="K10:M11"/>
    <mergeCell ref="C12:F12"/>
    <mergeCell ref="A11:E11"/>
    <mergeCell ref="H11:J11"/>
    <mergeCell ref="D24:F24"/>
    <mergeCell ref="A20:B25"/>
    <mergeCell ref="A10:C10"/>
    <mergeCell ref="D10:E10"/>
    <mergeCell ref="F10:G11"/>
    <mergeCell ref="H10:I10"/>
    <mergeCell ref="I12:M12"/>
    <mergeCell ref="F31:M33"/>
    <mergeCell ref="G19:L19"/>
    <mergeCell ref="S19:T20"/>
    <mergeCell ref="U19:W20"/>
    <mergeCell ref="I16:J17"/>
    <mergeCell ref="C14:F14"/>
    <mergeCell ref="U16:W17"/>
  </mergeCells>
  <phoneticPr fontId="3" type="noConversion"/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6</vt:i4>
      </vt:variant>
    </vt:vector>
  </HeadingPairs>
  <TitlesOfParts>
    <vt:vector size="12" baseType="lpstr">
      <vt:lpstr>sheet1</vt:lpstr>
      <vt:lpstr>안전보안부품</vt:lpstr>
      <vt:lpstr>SHAFT</vt:lpstr>
      <vt:lpstr>예열 A</vt:lpstr>
      <vt:lpstr>예열 B</vt:lpstr>
      <vt:lpstr>응력제거</vt:lpstr>
      <vt:lpstr>SHAFT!Print_Area</vt:lpstr>
      <vt:lpstr>sheet1!Print_Area</vt:lpstr>
      <vt:lpstr>안전보안부품!Print_Area</vt:lpstr>
      <vt:lpstr>'예열 A'!Print_Area</vt:lpstr>
      <vt:lpstr>'예열 B'!Print_Area</vt:lpstr>
      <vt:lpstr>응력제거!Print_Area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황성모</dc:creator>
  <cp:lastModifiedBy>user</cp:lastModifiedBy>
  <cp:lastPrinted>2019-02-14T01:11:13Z</cp:lastPrinted>
  <dcterms:created xsi:type="dcterms:W3CDTF">2015-09-09T08:23:01Z</dcterms:created>
  <dcterms:modified xsi:type="dcterms:W3CDTF">2021-03-24T07:48:57Z</dcterms:modified>
</cp:coreProperties>
</file>