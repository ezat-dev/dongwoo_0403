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480" yWindow="795" windowWidth="24240" windowHeight="12450"/>
  </bookViews>
  <sheets>
    <sheet name="sheet1" sheetId="1" r:id="rId1"/>
    <sheet name="SHAFT" sheetId="4" r:id="rId2"/>
    <sheet name="식별표" sheetId="6" r:id="rId3"/>
    <sheet name="취성제거 P32R" sheetId="7" r:id="rId4"/>
    <sheet name="취성제거 MQ4" sheetId="11" r:id="rId5"/>
    <sheet name="수출품 RU.RT" sheetId="8" r:id="rId6"/>
    <sheet name="수출품 D5R" sheetId="10" r:id="rId7"/>
  </sheets>
  <definedNames>
    <definedName name="_xlnm.Print_Area" localSheetId="1">SHAFT!$A$1:$W$92</definedName>
    <definedName name="_xlnm.Print_Area" localSheetId="0">sheet1!$A$1:$W$94</definedName>
    <definedName name="_xlnm.Print_Area" localSheetId="6">'수출품 D5R'!$A$1:$W$91</definedName>
    <definedName name="_xlnm.Print_Area" localSheetId="5">'수출품 RU.RT'!$A$1:$W$91</definedName>
    <definedName name="_xlnm.Print_Area" localSheetId="2">식별표!$A$1:$I$30</definedName>
    <definedName name="_xlnm.Print_Area" localSheetId="4">'취성제거 MQ4'!$A$1:$W$45</definedName>
    <definedName name="_xlnm.Print_Area" localSheetId="3">'취성제거 P32R'!$A$1:$W$45</definedName>
    <definedName name="Z_357FF335_BACF_42A2_8E99_9046DDD3B74A_.wvu.Cols" localSheetId="1" hidden="1">SHAFT!#REF!</definedName>
    <definedName name="Z_357FF335_BACF_42A2_8E99_9046DDD3B74A_.wvu.Cols" localSheetId="0" hidden="1">sheet1!#REF!</definedName>
    <definedName name="Z_357FF335_BACF_42A2_8E99_9046DDD3B74A_.wvu.Cols" localSheetId="6" hidden="1">'수출품 D5R'!#REF!</definedName>
    <definedName name="Z_357FF335_BACF_42A2_8E99_9046DDD3B74A_.wvu.Cols" localSheetId="5" hidden="1">'수출품 RU.RT'!#REF!</definedName>
    <definedName name="Z_357FF335_BACF_42A2_8E99_9046DDD3B74A_.wvu.Cols" localSheetId="4" hidden="1">'취성제거 MQ4'!#REF!</definedName>
    <definedName name="Z_357FF335_BACF_42A2_8E99_9046DDD3B74A_.wvu.Cols" localSheetId="3" hidden="1">'취성제거 P32R'!#REF!</definedName>
  </definedNames>
  <calcPr calcId="152511"/>
</workbook>
</file>

<file path=xl/calcChain.xml><?xml version="1.0" encoding="utf-8"?>
<calcChain xmlns="http://schemas.openxmlformats.org/spreadsheetml/2006/main">
  <c r="U8" i="10" l="1"/>
  <c r="U8" i="8"/>
  <c r="U8" i="11"/>
  <c r="U8" i="7"/>
  <c r="U8" i="4"/>
  <c r="D10" i="10"/>
  <c r="D10" i="8"/>
  <c r="D10" i="11"/>
  <c r="D10" i="7"/>
  <c r="D10" i="4"/>
  <c r="P4" i="10" l="1"/>
  <c r="P4" i="8"/>
  <c r="P4" i="11"/>
  <c r="P4" i="7"/>
  <c r="P4" i="4"/>
  <c r="Z5" i="1"/>
  <c r="AA5" i="1" s="1"/>
  <c r="K1" i="4" l="1"/>
  <c r="U7" i="11" l="1"/>
  <c r="U6" i="11"/>
  <c r="AA5" i="11"/>
  <c r="Z5" i="11"/>
  <c r="C5" i="11"/>
  <c r="J4" i="11"/>
  <c r="C4" i="11"/>
  <c r="D3" i="11"/>
  <c r="K2" i="11"/>
  <c r="Q40" i="10" l="1"/>
  <c r="Q40" i="8"/>
  <c r="P43" i="8" l="1"/>
  <c r="P43" i="10"/>
  <c r="T24" i="10"/>
  <c r="T22" i="10"/>
  <c r="M21" i="10"/>
  <c r="G21" i="10"/>
  <c r="D21" i="10"/>
  <c r="M19" i="10"/>
  <c r="J19" i="10"/>
  <c r="G19" i="10"/>
  <c r="U15" i="10"/>
  <c r="G15" i="10"/>
  <c r="U14" i="10"/>
  <c r="U12" i="10"/>
  <c r="U7" i="10"/>
  <c r="U6" i="10"/>
  <c r="Z5" i="10"/>
  <c r="AA5" i="10" s="1"/>
  <c r="J5" i="10"/>
  <c r="C5" i="10"/>
  <c r="J4" i="10"/>
  <c r="C4" i="10"/>
  <c r="D3" i="10"/>
  <c r="K2" i="10"/>
  <c r="U7" i="4" l="1"/>
  <c r="U7" i="8"/>
  <c r="U6" i="8"/>
  <c r="U6" i="4"/>
  <c r="T24" i="8" l="1"/>
  <c r="T22" i="8"/>
  <c r="M21" i="8"/>
  <c r="G21" i="8"/>
  <c r="D21" i="8"/>
  <c r="M19" i="8"/>
  <c r="J19" i="8"/>
  <c r="G19" i="8"/>
  <c r="U15" i="8"/>
  <c r="G15" i="8"/>
  <c r="U14" i="8"/>
  <c r="U12" i="8"/>
  <c r="Z5" i="8"/>
  <c r="AA5" i="8" s="1"/>
  <c r="J5" i="8"/>
  <c r="C5" i="8"/>
  <c r="J4" i="8"/>
  <c r="C4" i="8"/>
  <c r="D3" i="8"/>
  <c r="K2" i="8"/>
  <c r="K2" i="7" l="1"/>
  <c r="J19" i="4" l="1"/>
  <c r="M19" i="4"/>
  <c r="T24" i="4"/>
  <c r="U7" i="7"/>
  <c r="U6" i="7"/>
  <c r="Z5" i="7"/>
  <c r="AA5" i="7" s="1"/>
  <c r="C5" i="7"/>
  <c r="J4" i="7"/>
  <c r="C4" i="7"/>
  <c r="D3" i="7"/>
  <c r="N35" i="4" l="1"/>
  <c r="H31" i="4"/>
  <c r="C47" i="4" l="1"/>
  <c r="C46" i="4"/>
  <c r="C45" i="4"/>
  <c r="C44" i="4"/>
  <c r="B2" i="6" l="1"/>
  <c r="D3" i="6" s="1"/>
  <c r="B4" i="6" l="1"/>
  <c r="B9" i="6" s="1"/>
  <c r="B5" i="6"/>
  <c r="B10" i="6" s="1"/>
  <c r="B3" i="6"/>
  <c r="G3" i="6" s="1"/>
  <c r="D4" i="6"/>
  <c r="I4" i="6" s="1"/>
  <c r="D2" i="6"/>
  <c r="I2" i="6" s="1"/>
  <c r="G2" i="6"/>
  <c r="I3" i="6"/>
  <c r="D8" i="6"/>
  <c r="I8" i="6"/>
  <c r="D13" i="6"/>
  <c r="I13" i="6"/>
  <c r="D18" i="6"/>
  <c r="I18" i="6"/>
  <c r="D23" i="6"/>
  <c r="I23" i="6"/>
  <c r="D28" i="6"/>
  <c r="I28" i="6"/>
  <c r="G30" i="6" l="1"/>
  <c r="G25" i="6"/>
  <c r="G20" i="6"/>
  <c r="G15" i="6"/>
  <c r="G10" i="6"/>
  <c r="G5" i="6"/>
  <c r="B30" i="6"/>
  <c r="B25" i="6"/>
  <c r="B20" i="6"/>
  <c r="B15" i="6"/>
  <c r="I24" i="6"/>
  <c r="I14" i="6"/>
  <c r="D24" i="6"/>
  <c r="D14" i="6"/>
  <c r="I29" i="6"/>
  <c r="I19" i="6"/>
  <c r="I9" i="6"/>
  <c r="D29" i="6"/>
  <c r="D19" i="6"/>
  <c r="D9" i="6"/>
  <c r="G28" i="6"/>
  <c r="G23" i="6"/>
  <c r="G18" i="6"/>
  <c r="G13" i="6"/>
  <c r="G8" i="6"/>
  <c r="B28" i="6"/>
  <c r="B23" i="6"/>
  <c r="B18" i="6"/>
  <c r="B13" i="6"/>
  <c r="B8" i="6"/>
  <c r="G29" i="6"/>
  <c r="B24" i="6"/>
  <c r="G19" i="6"/>
  <c r="B14" i="6"/>
  <c r="G9" i="6"/>
  <c r="G4" i="6"/>
  <c r="B29" i="6"/>
  <c r="G24" i="6"/>
  <c r="B19" i="6"/>
  <c r="G14" i="6"/>
  <c r="I27" i="6"/>
  <c r="I22" i="6"/>
  <c r="I17" i="6"/>
  <c r="I12" i="6"/>
  <c r="I7" i="6"/>
  <c r="D27" i="6"/>
  <c r="D22" i="6"/>
  <c r="D17" i="6"/>
  <c r="D12" i="6"/>
  <c r="D7" i="6"/>
  <c r="B27" i="6"/>
  <c r="G22" i="6"/>
  <c r="B17" i="6"/>
  <c r="G12" i="6"/>
  <c r="B7" i="6"/>
  <c r="G27" i="6"/>
  <c r="B22" i="6"/>
  <c r="G17" i="6"/>
  <c r="B12" i="6"/>
  <c r="G7" i="6"/>
  <c r="D3" i="4"/>
  <c r="M21" i="4"/>
  <c r="G21" i="4"/>
  <c r="D21" i="4"/>
  <c r="M20" i="4"/>
  <c r="J20" i="4"/>
  <c r="G15" i="4"/>
  <c r="G20" i="4"/>
  <c r="G19" i="4"/>
  <c r="T22" i="4"/>
  <c r="U15" i="4"/>
  <c r="U14" i="4"/>
  <c r="U12" i="4"/>
  <c r="J5" i="4"/>
  <c r="C5" i="4"/>
  <c r="J4" i="4"/>
  <c r="C4" i="4"/>
  <c r="Z5" i="4"/>
  <c r="AA5" i="4" s="1"/>
  <c r="P3" i="1" l="1"/>
  <c r="P3" i="10" l="1"/>
  <c r="P3" i="8"/>
  <c r="P3" i="4"/>
  <c r="P1" i="1"/>
  <c r="P1" i="11" s="1"/>
  <c r="P1" i="10" l="1"/>
  <c r="P1" i="8"/>
  <c r="P1" i="4"/>
  <c r="P1" i="7"/>
</calcChain>
</file>

<file path=xl/sharedStrings.xml><?xml version="1.0" encoding="utf-8"?>
<sst xmlns="http://schemas.openxmlformats.org/spreadsheetml/2006/main" count="931" uniqueCount="306">
  <si>
    <t>고 객 명 :</t>
    <phoneticPr fontId="3" type="noConversion"/>
  </si>
  <si>
    <t>처리장비</t>
    <phoneticPr fontId="3" type="noConversion"/>
  </si>
  <si>
    <t>품   명</t>
    <phoneticPr fontId="3" type="noConversion"/>
  </si>
  <si>
    <t>재   질</t>
    <phoneticPr fontId="3" type="noConversion"/>
  </si>
  <si>
    <r>
      <t xml:space="preserve">수주 no.
</t>
    </r>
    <r>
      <rPr>
        <sz val="9"/>
        <rFont val="바탕체"/>
        <family val="1"/>
        <charset val="129"/>
      </rPr>
      <t>[전산번호]</t>
    </r>
    <phoneticPr fontId="3" type="noConversion"/>
  </si>
  <si>
    <t>품   번</t>
    <phoneticPr fontId="3" type="noConversion"/>
  </si>
  <si>
    <t>열처리
구분</t>
    <phoneticPr fontId="3" type="noConversion"/>
  </si>
  <si>
    <t>공정
lot no.</t>
    <phoneticPr fontId="3" type="noConversion"/>
  </si>
  <si>
    <t>1번
전세정</t>
    <phoneticPr fontId="3" type="noConversion"/>
  </si>
  <si>
    <t>표준수량</t>
    <phoneticPr fontId="3" type="noConversion"/>
  </si>
  <si>
    <t>○</t>
    <phoneticPr fontId="3" type="noConversion"/>
  </si>
  <si>
    <t>⊙ 표준NO.</t>
    <phoneticPr fontId="3" type="noConversion"/>
  </si>
  <si>
    <t>온도(℃)</t>
    <phoneticPr fontId="3" type="noConversion"/>
  </si>
  <si>
    <t>시간(분)</t>
    <phoneticPr fontId="3" type="noConversion"/>
  </si>
  <si>
    <t>교반기</t>
    <phoneticPr fontId="3" type="noConversion"/>
  </si>
  <si>
    <t>2번
열처리</t>
    <phoneticPr fontId="3" type="noConversion"/>
  </si>
  <si>
    <t>Caburizing</t>
    <phoneticPr fontId="3" type="noConversion"/>
  </si>
  <si>
    <t>Diffusion</t>
    <phoneticPr fontId="3" type="noConversion"/>
  </si>
  <si>
    <t>Quenching</t>
    <phoneticPr fontId="3" type="noConversion"/>
  </si>
  <si>
    <t>추출완료시간</t>
    <phoneticPr fontId="3" type="noConversion"/>
  </si>
  <si>
    <t>SP-1</t>
    <phoneticPr fontId="3" type="noConversion"/>
  </si>
  <si>
    <t>SP-2</t>
    <phoneticPr fontId="3" type="noConversion"/>
  </si>
  <si>
    <t>SP-3</t>
    <phoneticPr fontId="3" type="noConversion"/>
  </si>
  <si>
    <t>SP-4</t>
    <phoneticPr fontId="3" type="noConversion"/>
  </si>
  <si>
    <t>시간</t>
    <phoneticPr fontId="3" type="noConversion"/>
  </si>
  <si>
    <t>ㅡ</t>
    <phoneticPr fontId="3" type="noConversion"/>
  </si>
  <si>
    <t>C.P(%)</t>
    <phoneticPr fontId="3" type="noConversion"/>
  </si>
  <si>
    <t>처리장비</t>
    <phoneticPr fontId="3" type="noConversion"/>
  </si>
  <si>
    <t>① ② ③ 호기</t>
    <phoneticPr fontId="3" type="noConversion"/>
  </si>
  <si>
    <t>NH3(ℓ/min)</t>
    <phoneticPr fontId="3" type="noConversion"/>
  </si>
  <si>
    <t>CUT</t>
    <phoneticPr fontId="3" type="noConversion"/>
  </si>
  <si>
    <t>투입시간</t>
    <phoneticPr fontId="3" type="noConversion"/>
  </si>
  <si>
    <t>CO2(%)</t>
    <phoneticPr fontId="3" type="noConversion"/>
  </si>
  <si>
    <t>0.22%~0.28%</t>
    <phoneticPr fontId="3" type="noConversion"/>
  </si>
  <si>
    <t>RX-GAS(㎥/Hr)</t>
    <phoneticPr fontId="3" type="noConversion"/>
  </si>
  <si>
    <t>15 [-5 ~ +10 M3/Hr]</t>
    <phoneticPr fontId="3" type="noConversion"/>
  </si>
  <si>
    <t>⊙ 작업내용</t>
    <phoneticPr fontId="3" type="noConversion"/>
  </si>
  <si>
    <t>시험편
채취규정</t>
    <phoneticPr fontId="3" type="noConversion"/>
  </si>
  <si>
    <t>관리규정</t>
    <phoneticPr fontId="3" type="noConversion"/>
  </si>
  <si>
    <t>표면경도</t>
    <phoneticPr fontId="3" type="noConversion"/>
  </si>
  <si>
    <t>x1</t>
    <phoneticPr fontId="3" type="noConversion"/>
  </si>
  <si>
    <t>x2</t>
    <phoneticPr fontId="3" type="noConversion"/>
  </si>
  <si>
    <t>x3</t>
    <phoneticPr fontId="3" type="noConversion"/>
  </si>
  <si>
    <t>단시간</t>
    <phoneticPr fontId="3" type="noConversion"/>
  </si>
  <si>
    <t>검사항목</t>
    <phoneticPr fontId="3" type="noConversion"/>
  </si>
  <si>
    <t>검사규정</t>
    <phoneticPr fontId="3" type="noConversion"/>
  </si>
  <si>
    <t>검사주기</t>
    <phoneticPr fontId="3" type="noConversion"/>
  </si>
  <si>
    <t>경화깊이</t>
    <phoneticPr fontId="3" type="noConversion"/>
  </si>
  <si>
    <t>내부경도</t>
    <phoneticPr fontId="3" type="noConversion"/>
  </si>
  <si>
    <t>치수측정</t>
    <phoneticPr fontId="3" type="noConversion"/>
  </si>
  <si>
    <t>ㅡ㈜금 구ㅡ</t>
    <phoneticPr fontId="3" type="noConversion"/>
  </si>
  <si>
    <t>A4(210*297)mm</t>
    <phoneticPr fontId="3" type="noConversion"/>
  </si>
  <si>
    <t>HOT-OIL</t>
    <phoneticPr fontId="3" type="noConversion"/>
  </si>
  <si>
    <t>SEMI HOT-OIL</t>
    <phoneticPr fontId="3" type="noConversion"/>
  </si>
  <si>
    <t>COLD-OIL</t>
    <phoneticPr fontId="3" type="noConversion"/>
  </si>
  <si>
    <t>열 처 리 작 업 표</t>
    <phoneticPr fontId="3" type="noConversion"/>
  </si>
  <si>
    <t>공정
lot no.</t>
    <phoneticPr fontId="3" type="noConversion"/>
  </si>
  <si>
    <t>지엠비코리아㈜</t>
  </si>
  <si>
    <t>OUTTER RING</t>
  </si>
  <si>
    <t>SUJ2</t>
  </si>
  <si>
    <t>소입공정(Q.T)</t>
  </si>
  <si>
    <t>_</t>
  </si>
  <si>
    <t>100℃±10℃</t>
  </si>
  <si>
    <t>40M</t>
  </si>
  <si>
    <t>60Hz±5Hz</t>
  </si>
  <si>
    <t>850℃±10℃</t>
  </si>
  <si>
    <t>30M</t>
  </si>
  <si>
    <t>0.65%±0.05%</t>
  </si>
  <si>
    <t>CUT</t>
  </si>
  <si>
    <t>170℃±5℃</t>
  </si>
  <si>
    <t>1Hr30M</t>
  </si>
  <si>
    <t>HRC 61~64</t>
  </si>
  <si>
    <t>LOT NO. 위치</t>
    <phoneticPr fontId="3" type="noConversion"/>
  </si>
  <si>
    <t>처리장비추출</t>
    <phoneticPr fontId="3" type="noConversion"/>
  </si>
  <si>
    <t>장비숫자변환</t>
    <phoneticPr fontId="3" type="noConversion"/>
  </si>
  <si>
    <t>검사 주기</t>
    <phoneticPr fontId="3" type="noConversion"/>
  </si>
  <si>
    <t>매lot</t>
    <phoneticPr fontId="3" type="noConversion"/>
  </si>
  <si>
    <t>채위 위치</t>
    <phoneticPr fontId="3" type="noConversion"/>
  </si>
  <si>
    <t>4번 소려</t>
    <phoneticPr fontId="3" type="noConversion"/>
  </si>
  <si>
    <t>6번</t>
    <phoneticPr fontId="3" type="noConversion"/>
  </si>
  <si>
    <t>1번</t>
    <phoneticPr fontId="3" type="noConversion"/>
  </si>
  <si>
    <t>전세정</t>
    <phoneticPr fontId="3" type="noConversion"/>
  </si>
  <si>
    <t>2번</t>
    <phoneticPr fontId="3" type="noConversion"/>
  </si>
  <si>
    <t>열처리</t>
    <phoneticPr fontId="3" type="noConversion"/>
  </si>
  <si>
    <t>3번</t>
    <phoneticPr fontId="3" type="noConversion"/>
  </si>
  <si>
    <t>후세정</t>
    <phoneticPr fontId="3" type="noConversion"/>
  </si>
  <si>
    <t>4번</t>
    <phoneticPr fontId="3" type="noConversion"/>
  </si>
  <si>
    <t>○</t>
    <phoneticPr fontId="3" type="noConversion"/>
  </si>
  <si>
    <t>제품 공정 이동표</t>
    <phoneticPr fontId="3" type="noConversion"/>
  </si>
  <si>
    <t>3번
후세정</t>
    <phoneticPr fontId="3" type="noConversion"/>
  </si>
  <si>
    <t>구분</t>
    <phoneticPr fontId="3" type="noConversion"/>
  </si>
  <si>
    <r>
      <rPr>
        <sz val="10"/>
        <rFont val="맑은 고딕"/>
        <family val="3"/>
        <charset val="129"/>
      </rPr>
      <t>●</t>
    </r>
    <r>
      <rPr>
        <sz val="10"/>
        <rFont val="바탕체"/>
        <family val="1"/>
        <charset val="129"/>
      </rPr>
      <t xml:space="preserve"> 진공세정</t>
    </r>
    <phoneticPr fontId="3" type="noConversion"/>
  </si>
  <si>
    <t>세정모드</t>
    <phoneticPr fontId="3" type="noConversion"/>
  </si>
  <si>
    <t>A 형</t>
    <phoneticPr fontId="3" type="noConversion"/>
  </si>
  <si>
    <t>B 형</t>
    <phoneticPr fontId="3" type="noConversion"/>
  </si>
  <si>
    <t>C 형</t>
    <phoneticPr fontId="3" type="noConversion"/>
  </si>
  <si>
    <t>소려</t>
    <phoneticPr fontId="3" type="noConversion"/>
  </si>
  <si>
    <t>특이사항</t>
    <phoneticPr fontId="3" type="noConversion"/>
  </si>
  <si>
    <t>전달사항</t>
    <phoneticPr fontId="3" type="noConversion"/>
  </si>
  <si>
    <t>0.65%±0.05%</t>
    <phoneticPr fontId="3" type="noConversion"/>
  </si>
  <si>
    <t>●</t>
    <phoneticPr fontId="3" type="noConversion"/>
  </si>
  <si>
    <t>○</t>
    <phoneticPr fontId="3" type="noConversion"/>
  </si>
  <si>
    <t>7번</t>
    <phoneticPr fontId="3" type="noConversion"/>
  </si>
  <si>
    <t>테이블/행거</t>
    <phoneticPr fontId="3" type="noConversion"/>
  </si>
  <si>
    <t>에이프론</t>
    <phoneticPr fontId="3" type="noConversion"/>
  </si>
  <si>
    <t>전수교정</t>
    <phoneticPr fontId="3" type="noConversion"/>
  </si>
  <si>
    <t>교정</t>
    <phoneticPr fontId="3" type="noConversion"/>
  </si>
  <si>
    <t>쇼트</t>
    <phoneticPr fontId="3" type="noConversion"/>
  </si>
  <si>
    <t>20분</t>
    <phoneticPr fontId="3" type="noConversion"/>
  </si>
  <si>
    <t>동축도
0.08mm
이내</t>
    <phoneticPr fontId="3" type="noConversion"/>
  </si>
  <si>
    <t>중시간</t>
    <phoneticPr fontId="3" type="noConversion"/>
  </si>
  <si>
    <t>20분x2회</t>
    <phoneticPr fontId="3" type="noConversion"/>
  </si>
  <si>
    <t>30분</t>
    <phoneticPr fontId="3" type="noConversion"/>
  </si>
  <si>
    <t>장시간</t>
    <phoneticPr fontId="3" type="noConversion"/>
  </si>
  <si>
    <t>30분x2회</t>
    <phoneticPr fontId="3" type="noConversion"/>
  </si>
  <si>
    <t>40분</t>
    <phoneticPr fontId="3" type="noConversion"/>
  </si>
  <si>
    <t>후공정 진행</t>
    <phoneticPr fontId="3" type="noConversion"/>
  </si>
  <si>
    <t>○</t>
    <phoneticPr fontId="3" type="noConversion"/>
  </si>
  <si>
    <t>바렐</t>
    <phoneticPr fontId="3" type="noConversion"/>
  </si>
  <si>
    <t>3번</t>
    <phoneticPr fontId="3" type="noConversion"/>
  </si>
  <si>
    <t>교정</t>
    <phoneticPr fontId="3" type="noConversion"/>
  </si>
  <si>
    <t>쇼트</t>
    <phoneticPr fontId="3" type="noConversion"/>
  </si>
  <si>
    <t>10분x2회</t>
    <phoneticPr fontId="3" type="noConversion"/>
  </si>
  <si>
    <t>샌 딩</t>
    <phoneticPr fontId="3" type="noConversion"/>
  </si>
  <si>
    <t>자동샌딩 5분</t>
    <phoneticPr fontId="3" type="noConversion"/>
  </si>
  <si>
    <t>8번</t>
    <phoneticPr fontId="3" type="noConversion"/>
  </si>
  <si>
    <t>15분x2회</t>
    <phoneticPr fontId="3" type="noConversion"/>
  </si>
  <si>
    <t>40분x2회</t>
    <phoneticPr fontId="3" type="noConversion"/>
  </si>
  <si>
    <r>
      <rPr>
        <sz val="10"/>
        <rFont val="돋움"/>
        <family val="3"/>
        <charset val="129"/>
      </rPr>
      <t>※</t>
    </r>
    <r>
      <rPr>
        <sz val="10"/>
        <rFont val="바탕체"/>
        <family val="1"/>
        <charset val="129"/>
      </rPr>
      <t>관리규정에준하여교정실시</t>
    </r>
    <phoneticPr fontId="3" type="noConversion"/>
  </si>
  <si>
    <t>6번 소려</t>
    <phoneticPr fontId="3" type="noConversion"/>
  </si>
  <si>
    <t>합격</t>
    <phoneticPr fontId="30" type="noConversion"/>
  </si>
  <si>
    <t>검사확인</t>
    <phoneticPr fontId="30" type="noConversion"/>
  </si>
  <si>
    <t>납품업체</t>
    <phoneticPr fontId="30" type="noConversion"/>
  </si>
  <si>
    <t>납품일자</t>
    <phoneticPr fontId="30" type="noConversion"/>
  </si>
  <si>
    <t>LOT NO</t>
    <phoneticPr fontId="30" type="noConversion"/>
  </si>
  <si>
    <t>차종</t>
    <phoneticPr fontId="30" type="noConversion"/>
  </si>
  <si>
    <t>납품수량</t>
    <phoneticPr fontId="30" type="noConversion"/>
  </si>
  <si>
    <t>부품명</t>
    <phoneticPr fontId="30" type="noConversion"/>
  </si>
  <si>
    <t>부품번호</t>
    <phoneticPr fontId="30" type="noConversion"/>
  </si>
  <si>
    <t>부품식별표</t>
    <phoneticPr fontId="30" type="noConversion"/>
  </si>
  <si>
    <t>제품명</t>
    <phoneticPr fontId="3" type="noConversion"/>
  </si>
  <si>
    <t>box 수량</t>
    <phoneticPr fontId="3" type="noConversion"/>
  </si>
  <si>
    <t>차종</t>
    <phoneticPr fontId="3" type="noConversion"/>
  </si>
  <si>
    <t>DRM04</t>
    <phoneticPr fontId="3" type="noConversion"/>
  </si>
  <si>
    <t>납품업체</t>
    <phoneticPr fontId="3" type="noConversion"/>
  </si>
  <si>
    <t>한성바렐</t>
    <phoneticPr fontId="3" type="noConversion"/>
  </si>
  <si>
    <t>성광바렐</t>
    <phoneticPr fontId="3" type="noConversion"/>
  </si>
  <si>
    <t>D-ENG[복열-VE사양]</t>
    <phoneticPr fontId="3" type="noConversion"/>
  </si>
  <si>
    <t>18214-RM402 [RH]</t>
    <phoneticPr fontId="3" type="noConversion"/>
  </si>
  <si>
    <t>18114-RM402 [LH]</t>
    <phoneticPr fontId="3" type="noConversion"/>
  </si>
  <si>
    <t>5-259974-046</t>
    <phoneticPr fontId="3" type="noConversion"/>
  </si>
  <si>
    <t>YD</t>
    <phoneticPr fontId="3" type="noConversion"/>
  </si>
  <si>
    <t>YP</t>
    <phoneticPr fontId="3" type="noConversion"/>
  </si>
  <si>
    <t>RS162-32200</t>
    <phoneticPr fontId="3" type="noConversion"/>
  </si>
  <si>
    <t>46311-NPA15</t>
    <phoneticPr fontId="3" type="noConversion"/>
  </si>
  <si>
    <t>46231-NPA10</t>
    <phoneticPr fontId="3" type="noConversion"/>
  </si>
  <si>
    <t>P32R</t>
    <phoneticPr fontId="3" type="noConversion"/>
  </si>
  <si>
    <t>금구</t>
    <phoneticPr fontId="3" type="noConversion"/>
  </si>
  <si>
    <t>성지공업사</t>
    <phoneticPr fontId="3" type="noConversion"/>
  </si>
  <si>
    <t>RS162-31400</t>
    <phoneticPr fontId="3" type="noConversion"/>
  </si>
  <si>
    <t>피막</t>
    <phoneticPr fontId="3" type="noConversion"/>
  </si>
  <si>
    <t>교정후 템퍼링진행</t>
    <phoneticPr fontId="3" type="noConversion"/>
  </si>
  <si>
    <t>RD100-2D402</t>
    <phoneticPr fontId="3" type="noConversion"/>
  </si>
  <si>
    <t>M/R/RECL. 3500</t>
    <phoneticPr fontId="3" type="noConversion"/>
  </si>
  <si>
    <t>성광바렐</t>
    <phoneticPr fontId="3" type="noConversion"/>
  </si>
  <si>
    <t>RD100-2D401</t>
    <phoneticPr fontId="3" type="noConversion"/>
  </si>
  <si>
    <t>18115-RM2BO</t>
  </si>
  <si>
    <t>DRM02</t>
    <phoneticPr fontId="3" type="noConversion"/>
  </si>
  <si>
    <t>RK-S123-131</t>
  </si>
  <si>
    <t>POWER RECL.</t>
  </si>
  <si>
    <t>금구</t>
  </si>
  <si>
    <t>IN-OUT TYPE</t>
    <phoneticPr fontId="3" type="noConversion"/>
  </si>
  <si>
    <t>설정값 0.40%</t>
    <phoneticPr fontId="3" type="noConversion"/>
  </si>
  <si>
    <t>저장실</t>
    <phoneticPr fontId="3" type="noConversion"/>
  </si>
  <si>
    <t>세척실</t>
    <phoneticPr fontId="3" type="noConversion"/>
  </si>
  <si>
    <t>MAX 90℃</t>
    <phoneticPr fontId="3" type="noConversion"/>
  </si>
  <si>
    <t>75±15℃</t>
    <phoneticPr fontId="3" type="noConversion"/>
  </si>
  <si>
    <t>※제품별 검사협정서에 준하여 실시</t>
    <phoneticPr fontId="3" type="noConversion"/>
  </si>
  <si>
    <t>주문수량</t>
    <phoneticPr fontId="3" type="noConversion"/>
  </si>
  <si>
    <t>LOT
실수량</t>
    <phoneticPr fontId="3" type="noConversion"/>
  </si>
  <si>
    <t>(주,야)</t>
    <phoneticPr fontId="3" type="noConversion"/>
  </si>
  <si>
    <t>상</t>
    <phoneticPr fontId="3" type="noConversion"/>
  </si>
  <si>
    <t>중</t>
    <phoneticPr fontId="3" type="noConversion"/>
  </si>
  <si>
    <t>하</t>
    <phoneticPr fontId="3" type="noConversion"/>
  </si>
  <si>
    <t>확인란</t>
    <phoneticPr fontId="3" type="noConversion"/>
  </si>
  <si>
    <r>
      <t>측정값
[</t>
    </r>
    <r>
      <rPr>
        <sz val="8"/>
        <rFont val="바탕체"/>
        <family val="1"/>
        <charset val="129"/>
      </rPr>
      <t>※검사협정서참조]</t>
    </r>
    <phoneticPr fontId="3" type="noConversion"/>
  </si>
  <si>
    <t>취성제거</t>
    <phoneticPr fontId="3" type="noConversion"/>
  </si>
  <si>
    <t>템퍼링로</t>
    <phoneticPr fontId="3" type="noConversion"/>
  </si>
  <si>
    <t>TP-1,2,3</t>
    <phoneticPr fontId="3" type="noConversion"/>
  </si>
  <si>
    <t>적재</t>
    <phoneticPr fontId="3" type="noConversion"/>
  </si>
  <si>
    <t>표준수량</t>
  </si>
  <si>
    <t>냉각
조건</t>
    <phoneticPr fontId="3" type="noConversion"/>
  </si>
  <si>
    <t>제품 적재방법</t>
    <phoneticPr fontId="3" type="noConversion"/>
  </si>
  <si>
    <t>걸어서 적재</t>
    <phoneticPr fontId="3" type="noConversion"/>
  </si>
  <si>
    <t>깔아서 적재</t>
    <phoneticPr fontId="3" type="noConversion"/>
  </si>
  <si>
    <t>이동희</t>
    <phoneticPr fontId="3" type="noConversion"/>
  </si>
  <si>
    <t>발행자</t>
    <phoneticPr fontId="3" type="noConversion"/>
  </si>
  <si>
    <t>승인</t>
    <phoneticPr fontId="36" type="noConversion"/>
  </si>
  <si>
    <t>개정일자</t>
    <phoneticPr fontId="36" type="noConversion"/>
  </si>
  <si>
    <t>개정사유</t>
    <phoneticPr fontId="36" type="noConversion"/>
  </si>
  <si>
    <t>작성</t>
    <phoneticPr fontId="36" type="noConversion"/>
  </si>
  <si>
    <t>검토</t>
    <phoneticPr fontId="36" type="noConversion"/>
  </si>
  <si>
    <t>신규작성</t>
    <phoneticPr fontId="36" type="noConversion"/>
  </si>
  <si>
    <t>이동희</t>
    <phoneticPr fontId="36" type="noConversion"/>
  </si>
  <si>
    <t>이동희</t>
    <phoneticPr fontId="40" type="noConversion"/>
  </si>
  <si>
    <t>김태훈</t>
    <phoneticPr fontId="40" type="noConversion"/>
  </si>
  <si>
    <t>2011.03.01</t>
    <phoneticPr fontId="36" type="noConversion"/>
  </si>
  <si>
    <t>전종경</t>
    <phoneticPr fontId="40" type="noConversion"/>
  </si>
  <si>
    <t>열처리작업표 개정이력</t>
    <phoneticPr fontId="40" type="noConversion"/>
  </si>
  <si>
    <t>REV. NO.</t>
    <phoneticPr fontId="36" type="noConversion"/>
  </si>
  <si>
    <t>0</t>
    <phoneticPr fontId="3" type="noConversion"/>
  </si>
  <si>
    <t>2017.09.30</t>
    <phoneticPr fontId="3" type="noConversion"/>
  </si>
  <si>
    <t>표준작업 확인내용</t>
    <phoneticPr fontId="3" type="noConversion"/>
  </si>
  <si>
    <t>① 장입표준 준수</t>
    <phoneticPr fontId="3" type="noConversion"/>
  </si>
  <si>
    <t>② 제품사양 확인</t>
    <phoneticPr fontId="3" type="noConversion"/>
  </si>
  <si>
    <t xml:space="preserve"> (주,야)</t>
    <phoneticPr fontId="3" type="noConversion"/>
  </si>
  <si>
    <t>준비
작업자</t>
    <phoneticPr fontId="3" type="noConversion"/>
  </si>
  <si>
    <t>설비
투입자</t>
    <phoneticPr fontId="3" type="noConversion"/>
  </si>
  <si>
    <t>공정표준준수 확인란</t>
    <phoneticPr fontId="3" type="noConversion"/>
  </si>
  <si>
    <t>발행일자</t>
    <phoneticPr fontId="3" type="noConversion"/>
  </si>
  <si>
    <t>서식-GP-021 A4(1)</t>
    <phoneticPr fontId="3" type="noConversion"/>
  </si>
  <si>
    <r>
      <t>확인</t>
    </r>
    <r>
      <rPr>
        <sz val="10"/>
        <rFont val="맑은 고딕"/>
        <family val="3"/>
        <charset val="129"/>
      </rPr>
      <t xml:space="preserve"> 및 전달</t>
    </r>
    <r>
      <rPr>
        <sz val="10"/>
        <rFont val="돋움"/>
        <family val="3"/>
        <charset val="129"/>
      </rPr>
      <t xml:space="preserve">사항추가
</t>
    </r>
    <r>
      <rPr>
        <sz val="10"/>
        <rFont val="맑은 고딕"/>
        <family val="3"/>
        <charset val="129"/>
      </rPr>
      <t>①적재방법명기 ②준비작업자확인란 ③공전투입전확인란
 ④장입표준준수 사유명기 ⑤출하검사 시험편 발취지침추가</t>
    </r>
    <phoneticPr fontId="40" type="noConversion"/>
  </si>
  <si>
    <t>[안전부품 중요항목]</t>
    <phoneticPr fontId="3" type="noConversion"/>
  </si>
  <si>
    <t>하</t>
    <phoneticPr fontId="3" type="noConversion"/>
  </si>
  <si>
    <t>① 장입표준 준수 여부</t>
    <phoneticPr fontId="3" type="noConversion"/>
  </si>
  <si>
    <t>#40</t>
    <phoneticPr fontId="3" type="noConversion"/>
  </si>
  <si>
    <t>준비작업</t>
    <phoneticPr fontId="3" type="noConversion"/>
  </si>
  <si>
    <t>#50</t>
    <phoneticPr fontId="3" type="noConversion"/>
  </si>
  <si>
    <t>#60
#70</t>
    <phoneticPr fontId="3" type="noConversion"/>
  </si>
  <si>
    <t>가열
냉각</t>
    <phoneticPr fontId="3" type="noConversion"/>
  </si>
  <si>
    <t>#80</t>
    <phoneticPr fontId="3" type="noConversion"/>
  </si>
  <si>
    <t>#90</t>
    <phoneticPr fontId="3" type="noConversion"/>
  </si>
  <si>
    <t>소려</t>
    <phoneticPr fontId="3" type="noConversion"/>
  </si>
  <si>
    <t>#100</t>
    <phoneticPr fontId="3" type="noConversion"/>
  </si>
  <si>
    <t>적재품
해체</t>
    <phoneticPr fontId="3" type="noConversion"/>
  </si>
  <si>
    <t>#50
전세정</t>
    <phoneticPr fontId="3" type="noConversion"/>
  </si>
  <si>
    <t>#80
후세정</t>
    <phoneticPr fontId="3" type="noConversion"/>
  </si>
  <si>
    <t>특기사항</t>
    <phoneticPr fontId="3" type="noConversion"/>
  </si>
  <si>
    <t>장입표준준수 [걸어서 장입 &amp; 와셔체결]</t>
    <phoneticPr fontId="3" type="noConversion"/>
  </si>
  <si>
    <t>10 ~ 25 m3/Hr</t>
    <phoneticPr fontId="3" type="noConversion"/>
  </si>
  <si>
    <r>
      <t xml:space="preserve">1.연속적 기록온도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r>
      <rPr>
        <b/>
        <sz val="10"/>
        <rFont val="바탕체"/>
        <family val="1"/>
        <charset val="129"/>
      </rPr>
      <t xml:space="preserve">
2.이종제품 혼입금지(재질,탄소량,크기)
3.공정간이동 4시간이내 진행할것
[교정공정 12시간이내)
4.침탄 및 담금질 공정 재열처리금지
[GM-QP-1024준수]</t>
    </r>
    <phoneticPr fontId="3" type="noConversion"/>
  </si>
  <si>
    <t>상3EA,중3EA,하3EA = 9EA 발취</t>
    <phoneticPr fontId="3" type="noConversion"/>
  </si>
  <si>
    <t>1.장입표준 미준수시 냉각능부족 및 경화능 산포로 내구성저하등의 심각한 문제발생됨
[장입표준 반드시 준수]
2.출하검사 시험편 발취시 지침서
[GM-QP-1037]준수할것</t>
    <phoneticPr fontId="3" type="noConversion"/>
  </si>
  <si>
    <t>서식-GP-021 rev.1</t>
    <phoneticPr fontId="3" type="noConversion"/>
  </si>
  <si>
    <t>공냉후 포장</t>
    <phoneticPr fontId="3" type="noConversion"/>
  </si>
  <si>
    <t>①제품적재시 최소겹침 적재할것 
②피막처리품 이물질 오염주의</t>
    <phoneticPr fontId="3" type="noConversion"/>
  </si>
  <si>
    <t>140℃±5℃</t>
    <phoneticPr fontId="3" type="noConversion"/>
  </si>
  <si>
    <t>5번</t>
    <phoneticPr fontId="3" type="noConversion"/>
  </si>
  <si>
    <t>6번</t>
    <phoneticPr fontId="3" type="noConversion"/>
  </si>
  <si>
    <t>[전 달 사 항]</t>
    <phoneticPr fontId="3" type="noConversion"/>
  </si>
  <si>
    <r>
      <t xml:space="preserve">중간부 </t>
    </r>
    <r>
      <rPr>
        <sz val="10"/>
        <rFont val="맑은 고딕"/>
        <family val="3"/>
        <charset val="129"/>
      </rPr>
      <t>①</t>
    </r>
    <r>
      <rPr>
        <sz val="10"/>
        <rFont val="굴림체"/>
        <family val="3"/>
        <charset val="129"/>
      </rPr>
      <t>번</t>
    </r>
    <r>
      <rPr>
        <sz val="10"/>
        <rFont val="바탕체"/>
        <family val="1"/>
        <charset val="129"/>
      </rPr>
      <t xml:space="preserve"> 채취</t>
    </r>
    <phoneticPr fontId="3" type="noConversion"/>
  </si>
  <si>
    <t>7번 검사 [중간검사 &amp; 출하검사]</t>
    <phoneticPr fontId="3" type="noConversion"/>
  </si>
  <si>
    <t>8번 출하검사</t>
    <phoneticPr fontId="3" type="noConversion"/>
  </si>
  <si>
    <t>5번
중간
검사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</si>
  <si>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r>
      <rPr>
        <b/>
        <sz val="10"/>
        <rFont val="바탕체"/>
        <family val="1"/>
        <charset val="129"/>
      </rPr>
      <t xml:space="preserve">
2.CP값은 자동컨트롤 밸브타입으로 안정화후 </t>
    </r>
    <r>
      <rPr>
        <b/>
        <sz val="10"/>
        <color rgb="FFFF0000"/>
        <rFont val="바탕체"/>
        <family val="1"/>
        <charset val="129"/>
      </rPr>
      <t xml:space="preserve">±0.05%
  </t>
    </r>
    <r>
      <rPr>
        <b/>
        <sz val="10"/>
        <rFont val="바탕체"/>
        <family val="1"/>
        <charset val="129"/>
      </rPr>
      <t xml:space="preserve"> [상한경보는 1.5%,하한경보는 0.2%로 관리]</t>
    </r>
    <r>
      <rPr>
        <b/>
        <sz val="10"/>
        <color rgb="FFFF0000"/>
        <rFont val="바탕체"/>
        <family val="1"/>
        <charset val="129"/>
      </rPr>
      <t xml:space="preserve">
</t>
    </r>
    <r>
      <rPr>
        <b/>
        <sz val="10"/>
        <rFont val="바탕체"/>
        <family val="1"/>
        <charset val="129"/>
      </rPr>
      <t xml:space="preserve">3.이종제품 혼입금지(재질,탄소량,크기)
4.공정간이동 4시간이내 진행할것[교정공정 12시간이내)
5.침탄 및 담금질 공정 재열처리금지[GM-QP-1024준수]
6.장입표준 미준수시 냉각능부족 및 경화능 산포로 내구성저하등의 심각한 문제발생됨  </t>
    </r>
    <r>
      <rPr>
        <b/>
        <sz val="10"/>
        <color rgb="FFFF0000"/>
        <rFont val="바탕체"/>
        <family val="1"/>
        <charset val="129"/>
      </rPr>
      <t xml:space="preserve">[장입표준 반드시 준수]
</t>
    </r>
    <r>
      <rPr>
        <b/>
        <sz val="10"/>
        <rFont val="바탕체"/>
        <family val="1"/>
        <charset val="129"/>
      </rPr>
      <t>7.출하검사 시험편 발취시 지침서</t>
    </r>
    <r>
      <rPr>
        <b/>
        <sz val="10"/>
        <color rgb="FFFF0000"/>
        <rFont val="바탕체"/>
        <family val="1"/>
        <charset val="129"/>
      </rPr>
      <t>[GM-QP-1037]</t>
    </r>
    <r>
      <rPr>
        <b/>
        <sz val="10"/>
        <rFont val="바탕체"/>
        <family val="1"/>
        <charset val="129"/>
      </rPr>
      <t>준수할것</t>
    </r>
    <phoneticPr fontId="3" type="noConversion"/>
  </si>
  <si>
    <t>3.이종제품 혼입금지(재질,탄소량,크기)</t>
    <phoneticPr fontId="3" type="noConversion"/>
  </si>
  <si>
    <t>4.공정간이동 4시간이내 진행할것[교정공정 12시간이내)</t>
    <phoneticPr fontId="3" type="noConversion"/>
  </si>
  <si>
    <t>5.침탄 및 담금질 공정 재열처리금지[GM-QP-1024준수]</t>
    <phoneticPr fontId="3" type="noConversion"/>
  </si>
  <si>
    <t>6.장입표준 미준수시 냉각능부족 및 경화능 산포로 내구성</t>
    <phoneticPr fontId="3" type="noConversion"/>
  </si>
  <si>
    <r>
      <t xml:space="preserve">1.연속적 기록온도는 열처리로 </t>
    </r>
    <r>
      <rPr>
        <b/>
        <sz val="10"/>
        <color rgb="FFFF0000"/>
        <rFont val="바탕체"/>
        <family val="1"/>
        <charset val="129"/>
      </rPr>
      <t>±10℃</t>
    </r>
    <r>
      <rPr>
        <b/>
        <sz val="10"/>
        <rFont val="바탕체"/>
        <family val="1"/>
        <charset val="129"/>
      </rPr>
      <t xml:space="preserve"> ,소려로 </t>
    </r>
    <r>
      <rPr>
        <b/>
        <sz val="10"/>
        <color rgb="FFFF0000"/>
        <rFont val="바탕체"/>
        <family val="1"/>
        <charset val="129"/>
      </rPr>
      <t>±5℃</t>
    </r>
    <phoneticPr fontId="3" type="noConversion"/>
  </si>
  <si>
    <r>
      <t xml:space="preserve">2.CP값은 자동컨트롤 밸브타입으로 안정화후 </t>
    </r>
    <r>
      <rPr>
        <b/>
        <sz val="10"/>
        <color rgb="FFFF0000"/>
        <rFont val="바탕체"/>
        <family val="1"/>
        <charset val="129"/>
      </rPr>
      <t>±0.05%</t>
    </r>
    <phoneticPr fontId="3" type="noConversion"/>
  </si>
  <si>
    <r>
      <t xml:space="preserve"> [상한경보는</t>
    </r>
    <r>
      <rPr>
        <b/>
        <sz val="10"/>
        <color rgb="FFFF0000"/>
        <rFont val="바탕체"/>
        <family val="1"/>
        <charset val="129"/>
      </rPr>
      <t xml:space="preserve"> 1.5%</t>
    </r>
    <r>
      <rPr>
        <b/>
        <sz val="10"/>
        <rFont val="바탕체"/>
        <family val="1"/>
        <charset val="129"/>
      </rPr>
      <t xml:space="preserve">,하한경보는 </t>
    </r>
    <r>
      <rPr>
        <b/>
        <sz val="10"/>
        <color rgb="FFFF0000"/>
        <rFont val="바탕체"/>
        <family val="1"/>
        <charset val="129"/>
      </rPr>
      <t>0.2%</t>
    </r>
    <r>
      <rPr>
        <b/>
        <sz val="10"/>
        <rFont val="바탕체"/>
        <family val="1"/>
        <charset val="129"/>
      </rPr>
      <t>로 관리]</t>
    </r>
    <phoneticPr fontId="3" type="noConversion"/>
  </si>
  <si>
    <r>
      <t xml:space="preserve">  저하등의 심각한 문제발생됨 </t>
    </r>
    <r>
      <rPr>
        <b/>
        <sz val="10"/>
        <color rgb="FFFF0000"/>
        <rFont val="바탕체"/>
        <family val="1"/>
        <charset val="129"/>
      </rPr>
      <t xml:space="preserve"> [장입표준 반드시 준수]</t>
    </r>
    <phoneticPr fontId="3" type="noConversion"/>
  </si>
  <si>
    <r>
      <t>7.출하검사 시험편 발취시 지침서</t>
    </r>
    <r>
      <rPr>
        <b/>
        <sz val="10"/>
        <color rgb="FFFF0000"/>
        <rFont val="바탕체"/>
        <family val="1"/>
        <charset val="129"/>
      </rPr>
      <t>[GM-QP-1037]</t>
    </r>
    <r>
      <rPr>
        <b/>
        <sz val="10"/>
        <rFont val="바탕체"/>
        <family val="1"/>
        <charset val="129"/>
      </rPr>
      <t>준수할것</t>
    </r>
    <phoneticPr fontId="3" type="noConversion"/>
  </si>
  <si>
    <t>``</t>
    <phoneticPr fontId="3" type="noConversion"/>
  </si>
  <si>
    <t>30분x2회</t>
  </si>
  <si>
    <t>테이블
/행거</t>
    <phoneticPr fontId="3" type="noConversion"/>
  </si>
  <si>
    <t>#100 적재품해체</t>
    <phoneticPr fontId="3" type="noConversion"/>
  </si>
  <si>
    <t>식별타각
NO.</t>
    <phoneticPr fontId="3" type="noConversion"/>
  </si>
  <si>
    <t>18215-RM2BO</t>
    <phoneticPr fontId="3" type="noConversion"/>
  </si>
  <si>
    <t>1Hr 30M</t>
    <phoneticPr fontId="3" type="noConversion"/>
  </si>
  <si>
    <t>비
고</t>
    <phoneticPr fontId="3" type="noConversion"/>
  </si>
  <si>
    <t>패턴
번호</t>
    <phoneticPr fontId="3" type="noConversion"/>
  </si>
  <si>
    <t>구분</t>
    <phoneticPr fontId="3" type="noConversion"/>
  </si>
  <si>
    <t>시편 발취위치</t>
    <phoneticPr fontId="3" type="noConversion"/>
  </si>
  <si>
    <t>하</t>
    <phoneticPr fontId="3" type="noConversion"/>
  </si>
  <si>
    <t>하</t>
    <phoneticPr fontId="3" type="noConversion"/>
  </si>
  <si>
    <t>구분</t>
    <phoneticPr fontId="3" type="noConversion"/>
  </si>
  <si>
    <t>시편 발취위치</t>
    <phoneticPr fontId="3" type="noConversion"/>
  </si>
  <si>
    <r>
      <t>확인</t>
    </r>
    <r>
      <rPr>
        <sz val="10"/>
        <rFont val="맑은 고딕"/>
        <family val="3"/>
        <charset val="129"/>
      </rPr>
      <t xml:space="preserve"> 및 전달</t>
    </r>
    <r>
      <rPr>
        <sz val="10"/>
        <rFont val="돋움"/>
        <family val="3"/>
        <charset val="129"/>
      </rPr>
      <t xml:space="preserve">사항추가
</t>
    </r>
    <r>
      <rPr>
        <sz val="10"/>
        <rFont val="맑은 고딕"/>
        <family val="3"/>
        <charset val="129"/>
      </rPr>
      <t xml:space="preserve">①적재방법명기 ②준비작업자확인란 ③공전투입전확인란
 ④장입표준준수 사유명기 ⑤출하검사 시험편 발취지침추가
</t>
    </r>
    <r>
      <rPr>
        <b/>
        <sz val="10"/>
        <color rgb="FF0000FF"/>
        <rFont val="맑은 고딕"/>
        <family val="3"/>
        <charset val="129"/>
      </rPr>
      <t xml:space="preserve">적재표준 준수[걸어서 장입 =&gt; 제품간 와셔체결] 
→걸어서 작업시 와셔 미체결시 겹침부 경도미달발생
→냉각능 저하에따른 경도산포 및 경도미달발생
→전직원 중요 안전부품으로 기능부 교육 </t>
    </r>
    <phoneticPr fontId="40" type="noConversion"/>
  </si>
  <si>
    <t>[표면경도 측정값]</t>
    <phoneticPr fontId="3" type="noConversion"/>
  </si>
  <si>
    <t>구 분</t>
    <phoneticPr fontId="3" type="noConversion"/>
  </si>
  <si>
    <t>x1</t>
    <phoneticPr fontId="3" type="noConversion"/>
  </si>
  <si>
    <t>x2</t>
  </si>
  <si>
    <t>x3</t>
  </si>
  <si>
    <t>x4</t>
  </si>
  <si>
    <t>x5</t>
  </si>
  <si>
    <t>비     고</t>
    <phoneticPr fontId="3" type="noConversion"/>
  </si>
  <si>
    <t>이동희</t>
    <phoneticPr fontId="36" type="noConversion"/>
  </si>
  <si>
    <t>2017.09.30</t>
    <phoneticPr fontId="3" type="noConversion"/>
  </si>
  <si>
    <r>
      <t>확인</t>
    </r>
    <r>
      <rPr>
        <sz val="10"/>
        <rFont val="맑은 고딕"/>
        <family val="3"/>
        <charset val="129"/>
      </rPr>
      <t xml:space="preserve"> 및 전달</t>
    </r>
    <r>
      <rPr>
        <sz val="10"/>
        <rFont val="돋움"/>
        <family val="3"/>
        <charset val="129"/>
      </rPr>
      <t xml:space="preserve">사항추가
</t>
    </r>
    <r>
      <rPr>
        <sz val="10"/>
        <rFont val="맑은 고딕"/>
        <family val="3"/>
        <charset val="129"/>
      </rPr>
      <t>①적재방법명기 ②준비작업자확인란 ③공전투입전확인란
 ④장입표준준수 사유명기 ⑤출하검사 시험편 발취지침추가</t>
    </r>
    <phoneticPr fontId="40" type="noConversion"/>
  </si>
  <si>
    <t>전종경</t>
    <phoneticPr fontId="40" type="noConversion"/>
  </si>
  <si>
    <t>이동희</t>
    <phoneticPr fontId="40" type="noConversion"/>
  </si>
  <si>
    <t>[표면경도 측정값]</t>
    <phoneticPr fontId="3" type="noConversion"/>
  </si>
  <si>
    <t>구 분</t>
    <phoneticPr fontId="3" type="noConversion"/>
  </si>
  <si>
    <t>x1</t>
    <phoneticPr fontId="3" type="noConversion"/>
  </si>
  <si>
    <t>비     고</t>
    <phoneticPr fontId="3" type="noConversion"/>
  </si>
  <si>
    <t>장비숫자변환</t>
    <phoneticPr fontId="3" type="noConversion"/>
  </si>
  <si>
    <t>000000-00-00-00</t>
    <phoneticPr fontId="3" type="noConversion"/>
  </si>
  <si>
    <t>전세정여부</t>
    <phoneticPr fontId="3" type="noConversion"/>
  </si>
  <si>
    <t>교정여부</t>
    <phoneticPr fontId="3" type="noConversion"/>
  </si>
  <si>
    <t>쇼트여부</t>
    <phoneticPr fontId="3" type="noConversion"/>
  </si>
  <si>
    <t>후공정여부</t>
    <phoneticPr fontId="3" type="noConversion"/>
  </si>
  <si>
    <t>000</t>
    <phoneticPr fontId="3" type="noConversion"/>
  </si>
  <si>
    <t>DS10-H-01</t>
    <phoneticPr fontId="3" type="noConversion"/>
  </si>
  <si>
    <t>CUT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</si>
</sst>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&quot;BF-&quot;\ #"/>
    <numFmt numFmtId="177" formatCode="#\ &quot;EA&quot;"/>
    <numFmt numFmtId="178" formatCode="yyyy&quot;/&quot;m&quot;/&quot;d;@"/>
    <numFmt numFmtId="179" formatCode="&quot;'&quot;#"/>
  </numFmts>
  <fonts count="5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20"/>
      <name val="HY헤드라인M"/>
      <family val="1"/>
      <charset val="129"/>
    </font>
    <font>
      <sz val="8"/>
      <name val="돋움"/>
      <family val="3"/>
      <charset val="129"/>
    </font>
    <font>
      <sz val="10"/>
      <name val="바탕체"/>
      <family val="1"/>
      <charset val="129"/>
    </font>
    <font>
      <sz val="11"/>
      <color theme="0"/>
      <name val="휴먼둥근헤드라인"/>
      <family val="1"/>
      <charset val="129"/>
    </font>
    <font>
      <sz val="10"/>
      <name val="돋움"/>
      <family val="3"/>
      <charset val="129"/>
    </font>
    <font>
      <sz val="9"/>
      <name val="바탕체"/>
      <family val="1"/>
      <charset val="129"/>
    </font>
    <font>
      <b/>
      <sz val="10"/>
      <color theme="0"/>
      <name val="바탕체"/>
      <family val="1"/>
      <charset val="129"/>
    </font>
    <font>
      <sz val="10"/>
      <name val="맑은 고딕"/>
      <family val="3"/>
      <charset val="129"/>
    </font>
    <font>
      <b/>
      <sz val="10"/>
      <color rgb="FFFF0000"/>
      <name val="바탕체"/>
      <family val="1"/>
      <charset val="129"/>
    </font>
    <font>
      <b/>
      <sz val="10"/>
      <name val="바탕체"/>
      <family val="1"/>
      <charset val="129"/>
    </font>
    <font>
      <b/>
      <sz val="10"/>
      <name val="돋움"/>
      <family val="3"/>
      <charset val="129"/>
    </font>
    <font>
      <sz val="10"/>
      <name val="굴림체"/>
      <family val="3"/>
      <charset val="129"/>
    </font>
    <font>
      <sz val="9"/>
      <name val="HY견고딕"/>
      <family val="1"/>
      <charset val="129"/>
    </font>
    <font>
      <sz val="18"/>
      <color rgb="FFFF0000"/>
      <name val="HY견고딕"/>
      <family val="1"/>
      <charset val="129"/>
    </font>
    <font>
      <sz val="11"/>
      <color rgb="FF000000"/>
      <name val="굴림체"/>
      <family val="3"/>
      <charset val="129"/>
    </font>
    <font>
      <b/>
      <sz val="11"/>
      <color rgb="FFFF0000"/>
      <name val="바탕체"/>
      <family val="1"/>
      <charset val="129"/>
    </font>
    <font>
      <sz val="11"/>
      <name val="굴림체"/>
      <family val="3"/>
      <charset val="129"/>
    </font>
    <font>
      <sz val="10"/>
      <color theme="0"/>
      <name val="바탕체"/>
      <family val="1"/>
      <charset val="129"/>
    </font>
    <font>
      <b/>
      <sz val="11"/>
      <color theme="1"/>
      <name val="휴먼둥근헤드라인"/>
      <family val="1"/>
      <charset val="129"/>
    </font>
    <font>
      <b/>
      <sz val="10"/>
      <color theme="0"/>
      <name val="돋움"/>
      <family val="3"/>
      <charset val="129"/>
    </font>
    <font>
      <b/>
      <sz val="11"/>
      <color theme="0"/>
      <name val="바탕체"/>
      <family val="1"/>
      <charset val="129"/>
    </font>
    <font>
      <b/>
      <sz val="9"/>
      <name val="바탕체"/>
      <family val="1"/>
      <charset val="129"/>
    </font>
    <font>
      <sz val="11"/>
      <name val="HY견고딕"/>
      <family val="1"/>
      <charset val="129"/>
    </font>
    <font>
      <b/>
      <sz val="12"/>
      <color rgb="FFFF0000"/>
      <name val="바탕체"/>
      <family val="1"/>
      <charset val="129"/>
    </font>
    <font>
      <b/>
      <sz val="12"/>
      <color theme="0"/>
      <name val="바탕체"/>
      <family val="1"/>
      <charset val="129"/>
    </font>
    <font>
      <sz val="14"/>
      <color theme="0"/>
      <name val="HY헤드라인M"/>
      <family val="1"/>
      <charset val="129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굴림체"/>
      <family val="3"/>
      <charset val="129"/>
    </font>
    <font>
      <sz val="8"/>
      <name val="맑은 고딕"/>
      <family val="3"/>
      <charset val="129"/>
    </font>
    <font>
      <b/>
      <sz val="18"/>
      <color theme="1"/>
      <name val="굴림체"/>
      <family val="3"/>
      <charset val="129"/>
    </font>
    <font>
      <b/>
      <sz val="10"/>
      <name val="굴림체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22"/>
      <color rgb="FFFF0000"/>
      <name val="HY헤드라인M"/>
      <family val="1"/>
      <charset val="129"/>
    </font>
    <font>
      <b/>
      <sz val="10"/>
      <color theme="1"/>
      <name val="돋움"/>
      <family val="3"/>
      <charset val="129"/>
    </font>
    <font>
      <sz val="8"/>
      <name val="바탕체"/>
      <family val="1"/>
      <charset val="129"/>
    </font>
    <font>
      <b/>
      <sz val="16"/>
      <color rgb="FFFF0000"/>
      <name val="바탕체"/>
      <family val="1"/>
      <charset val="129"/>
    </font>
    <font>
      <sz val="10"/>
      <name val="HY헤드라인M"/>
      <family val="1"/>
      <charset val="129"/>
    </font>
    <font>
      <sz val="24"/>
      <name val="HY헤드라인M"/>
      <family val="1"/>
      <charset val="129"/>
    </font>
    <font>
      <sz val="8"/>
      <name val="굴림체"/>
      <family val="3"/>
      <charset val="129"/>
    </font>
    <font>
      <sz val="11"/>
      <color theme="1"/>
      <name val="굴림체"/>
      <family val="3"/>
      <charset val="129"/>
    </font>
    <font>
      <sz val="22"/>
      <name val="HY헤드라인M"/>
      <family val="1"/>
      <charset val="129"/>
    </font>
    <font>
      <b/>
      <sz val="16"/>
      <name val="바탕체"/>
      <family val="1"/>
      <charset val="129"/>
    </font>
    <font>
      <b/>
      <sz val="14"/>
      <name val="바탕체"/>
      <family val="1"/>
      <charset val="129"/>
    </font>
    <font>
      <sz val="16"/>
      <color rgb="FFFF0000"/>
      <name val="HY헤드라인M"/>
      <family val="1"/>
      <charset val="129"/>
    </font>
    <font>
      <b/>
      <sz val="16"/>
      <color theme="0"/>
      <name val="HY헤드라인M"/>
      <family val="1"/>
      <charset val="129"/>
    </font>
    <font>
      <sz val="20"/>
      <color theme="0"/>
      <name val="HY헤드라인M"/>
      <family val="1"/>
      <charset val="129"/>
    </font>
    <font>
      <b/>
      <sz val="24"/>
      <color theme="0"/>
      <name val="바탕체"/>
      <family val="1"/>
      <charset val="129"/>
    </font>
    <font>
      <sz val="16"/>
      <name val="HY헤드라인M"/>
      <family val="1"/>
      <charset val="129"/>
    </font>
    <font>
      <b/>
      <sz val="11"/>
      <name val="바탕체"/>
      <family val="1"/>
      <charset val="129"/>
    </font>
    <font>
      <sz val="12"/>
      <color rgb="FFFF0000"/>
      <name val="HY헤드라인M"/>
      <family val="1"/>
      <charset val="129"/>
    </font>
    <font>
      <b/>
      <sz val="10"/>
      <color rgb="FF0000FF"/>
      <name val="맑은 고딕"/>
      <family val="3"/>
      <charset val="129"/>
    </font>
    <font>
      <b/>
      <sz val="12"/>
      <name val="돋움"/>
      <family val="3"/>
      <charset val="129"/>
    </font>
    <font>
      <sz val="18"/>
      <name val="HY헤드라인M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 diagonalDown="1">
      <left/>
      <right/>
      <top/>
      <bottom/>
      <diagonal style="medium">
        <color indexed="64"/>
      </diagonal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 diagonalUp="1">
      <left/>
      <right/>
      <top/>
      <bottom/>
      <diagonal style="medium">
        <color indexed="64"/>
      </diagonal>
    </border>
    <border diagonalUp="1">
      <left/>
      <right style="medium">
        <color indexed="64"/>
      </right>
      <top/>
      <bottom/>
      <diagonal style="medium">
        <color indexed="64"/>
      </diagonal>
    </border>
    <border diagonalDown="1">
      <left style="medium">
        <color indexed="64"/>
      </left>
      <right/>
      <top/>
      <bottom/>
      <diagonal style="medium">
        <color indexed="64"/>
      </diagonal>
    </border>
    <border diagonalDown="1">
      <left/>
      <right style="medium">
        <color indexed="64"/>
      </right>
      <top/>
      <bottom/>
      <diagonal style="medium">
        <color indexed="64"/>
      </diagonal>
    </border>
    <border>
      <left style="medium">
        <color indexed="64"/>
      </left>
      <right/>
      <top/>
      <bottom style="thin">
        <color indexed="64"/>
      </bottom>
      <diagonal/>
    </border>
    <border diagonalDown="1">
      <left style="medium">
        <color indexed="64"/>
      </left>
      <right style="medium">
        <color indexed="64"/>
      </right>
      <top/>
      <bottom/>
      <diagonal style="medium">
        <color indexed="64"/>
      </diagonal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28" fillId="0" borderId="0">
      <alignment vertical="center"/>
    </xf>
    <xf numFmtId="0" fontId="1" fillId="0" borderId="0"/>
    <xf numFmtId="0" fontId="41" fillId="0" borderId="0">
      <alignment vertical="center"/>
    </xf>
  </cellStyleXfs>
  <cellXfs count="748">
    <xf numFmtId="0" fontId="0" fillId="0" borderId="0" xfId="0">
      <alignment vertical="center"/>
    </xf>
    <xf numFmtId="0" fontId="6" fillId="0" borderId="0" xfId="0" applyFont="1" applyAlignment="1">
      <alignment vertical="center" shrinkToFit="1"/>
    </xf>
    <xf numFmtId="0" fontId="6" fillId="0" borderId="0" xfId="0" applyNumberFormat="1" applyFont="1" applyAlignment="1">
      <alignment vertical="center" shrinkToFit="1"/>
    </xf>
    <xf numFmtId="0" fontId="4" fillId="0" borderId="7" xfId="0" applyNumberFormat="1" applyFont="1" applyFill="1" applyBorder="1" applyAlignment="1">
      <alignment vertical="center" shrinkToFit="1"/>
    </xf>
    <xf numFmtId="0" fontId="4" fillId="0" borderId="6" xfId="0" applyNumberFormat="1" applyFont="1" applyFill="1" applyBorder="1" applyAlignment="1">
      <alignment vertical="center" shrinkToFit="1"/>
    </xf>
    <xf numFmtId="0" fontId="4" fillId="0" borderId="0" xfId="0" applyNumberFormat="1" applyFont="1" applyFill="1" applyBorder="1" applyAlignment="1">
      <alignment vertical="center" shrinkToFit="1"/>
    </xf>
    <xf numFmtId="0" fontId="11" fillId="0" borderId="44" xfId="0" applyNumberFormat="1" applyFont="1" applyFill="1" applyBorder="1" applyAlignment="1">
      <alignment horizontal="center" vertical="center" shrinkToFit="1"/>
    </xf>
    <xf numFmtId="0" fontId="6" fillId="0" borderId="0" xfId="0" applyNumberFormat="1" applyFont="1" applyBorder="1" applyAlignment="1">
      <alignment vertical="center" shrinkToFit="1"/>
    </xf>
    <xf numFmtId="0" fontId="11" fillId="0" borderId="6" xfId="0" applyNumberFormat="1" applyFont="1" applyFill="1" applyBorder="1" applyAlignment="1">
      <alignment vertical="center" shrinkToFit="1"/>
    </xf>
    <xf numFmtId="0" fontId="11" fillId="0" borderId="0" xfId="0" applyNumberFormat="1" applyFont="1" applyFill="1" applyBorder="1" applyAlignment="1">
      <alignment vertical="center" shrinkToFit="1"/>
    </xf>
    <xf numFmtId="0" fontId="0" fillId="0" borderId="6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10" fontId="11" fillId="0" borderId="6" xfId="0" applyNumberFormat="1" applyFont="1" applyFill="1" applyBorder="1" applyAlignment="1">
      <alignment vertical="center" shrinkToFit="1"/>
    </xf>
    <xf numFmtId="10" fontId="11" fillId="0" borderId="0" xfId="0" applyNumberFormat="1" applyFont="1" applyFill="1" applyBorder="1" applyAlignment="1">
      <alignment vertical="center" shrinkToFit="1"/>
    </xf>
    <xf numFmtId="10" fontId="11" fillId="0" borderId="0" xfId="0" applyNumberFormat="1" applyFont="1" applyFill="1" applyBorder="1" applyAlignment="1">
      <alignment horizontal="center" vertical="center" shrinkToFit="1"/>
    </xf>
    <xf numFmtId="0" fontId="6" fillId="0" borderId="11" xfId="0" applyNumberFormat="1" applyFont="1" applyBorder="1" applyAlignment="1">
      <alignment vertical="center" shrinkToFit="1"/>
    </xf>
    <xf numFmtId="0" fontId="6" fillId="0" borderId="12" xfId="0" applyNumberFormat="1" applyFont="1" applyBorder="1" applyAlignment="1">
      <alignment vertical="center" shrinkToFit="1"/>
    </xf>
    <xf numFmtId="0" fontId="11" fillId="0" borderId="1" xfId="0" applyNumberFormat="1" applyFont="1" applyFill="1" applyBorder="1" applyAlignment="1">
      <alignment vertical="center" shrinkToFit="1"/>
    </xf>
    <xf numFmtId="0" fontId="11" fillId="0" borderId="2" xfId="0" applyNumberFormat="1" applyFont="1" applyFill="1" applyBorder="1" applyAlignment="1">
      <alignment vertical="center" shrinkToFit="1"/>
    </xf>
    <xf numFmtId="0" fontId="11" fillId="0" borderId="3" xfId="0" applyNumberFormat="1" applyFont="1" applyFill="1" applyBorder="1" applyAlignment="1">
      <alignment vertical="center" shrinkToFit="1"/>
    </xf>
    <xf numFmtId="0" fontId="4" fillId="0" borderId="20" xfId="0" applyFont="1" applyFill="1" applyBorder="1" applyAlignment="1">
      <alignment vertical="center" shrinkToFit="1"/>
    </xf>
    <xf numFmtId="49" fontId="6" fillId="0" borderId="0" xfId="0" applyNumberFormat="1" applyFont="1" applyAlignment="1">
      <alignment vertical="center" shrinkToFit="1"/>
    </xf>
    <xf numFmtId="0" fontId="17" fillId="0" borderId="0" xfId="0" applyNumberFormat="1" applyFont="1" applyFill="1" applyBorder="1" applyAlignment="1">
      <alignment horizontal="left" vertical="top" wrapText="1" shrinkToFit="1"/>
    </xf>
    <xf numFmtId="0" fontId="7" fillId="0" borderId="0" xfId="0" applyNumberFormat="1" applyFont="1" applyFill="1" applyBorder="1" applyAlignment="1">
      <alignment horizontal="center" vertical="center" wrapText="1" shrinkToFit="1"/>
    </xf>
    <xf numFmtId="0" fontId="19" fillId="0" borderId="0" xfId="0" applyNumberFormat="1" applyFont="1" applyFill="1" applyBorder="1" applyAlignment="1">
      <alignment horizontal="center" vertical="center" shrinkToFit="1"/>
    </xf>
    <xf numFmtId="0" fontId="19" fillId="0" borderId="0" xfId="0" applyNumberFormat="1" applyFont="1" applyFill="1" applyBorder="1" applyAlignment="1">
      <alignment vertical="center" shrinkToFit="1"/>
    </xf>
    <xf numFmtId="49" fontId="6" fillId="0" borderId="0" xfId="0" applyNumberFormat="1" applyFont="1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8" fillId="0" borderId="11" xfId="0" applyNumberFormat="1" applyFont="1" applyFill="1" applyBorder="1" applyAlignment="1">
      <alignment vertical="center" shrinkToFit="1"/>
    </xf>
    <xf numFmtId="0" fontId="8" fillId="0" borderId="28" xfId="0" applyNumberFormat="1" applyFont="1" applyFill="1" applyBorder="1" applyAlignment="1">
      <alignment vertical="center" shrinkToFit="1"/>
    </xf>
    <xf numFmtId="49" fontId="6" fillId="4" borderId="0" xfId="0" applyNumberFormat="1" applyFont="1" applyFill="1" applyAlignment="1">
      <alignment vertical="center" shrinkToFit="1"/>
    </xf>
    <xf numFmtId="0" fontId="4" fillId="0" borderId="26" xfId="0" applyNumberFormat="1" applyFont="1" applyFill="1" applyBorder="1" applyAlignment="1">
      <alignment vertical="center"/>
    </xf>
    <xf numFmtId="0" fontId="4" fillId="0" borderId="11" xfId="0" applyNumberFormat="1" applyFont="1" applyFill="1" applyBorder="1" applyAlignment="1">
      <alignment vertical="center" shrinkToFit="1"/>
    </xf>
    <xf numFmtId="0" fontId="7" fillId="0" borderId="13" xfId="0" applyFont="1" applyFill="1" applyBorder="1" applyAlignment="1">
      <alignment horizontal="center" vertical="center" wrapText="1"/>
    </xf>
    <xf numFmtId="49" fontId="4" fillId="0" borderId="96" xfId="0" applyNumberFormat="1" applyFont="1" applyFill="1" applyBorder="1" applyAlignment="1">
      <alignment vertical="center" shrinkToFit="1"/>
    </xf>
    <xf numFmtId="49" fontId="4" fillId="0" borderId="83" xfId="0" applyNumberFormat="1" applyFont="1" applyFill="1" applyBorder="1" applyAlignment="1">
      <alignment vertical="center" shrinkToFit="1"/>
    </xf>
    <xf numFmtId="0" fontId="4" fillId="0" borderId="30" xfId="0" applyFont="1" applyFill="1" applyBorder="1" applyAlignment="1">
      <alignment vertical="center" shrinkToFit="1"/>
    </xf>
    <xf numFmtId="0" fontId="4" fillId="0" borderId="80" xfId="0" applyFont="1" applyFill="1" applyBorder="1" applyAlignment="1">
      <alignment vertical="center" shrinkToFit="1"/>
    </xf>
    <xf numFmtId="49" fontId="4" fillId="0" borderId="107" xfId="0" applyNumberFormat="1" applyFont="1" applyFill="1" applyBorder="1" applyAlignment="1">
      <alignment horizontal="center" vertical="center" wrapText="1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7" fillId="0" borderId="0" xfId="0" applyNumberFormat="1" applyFont="1" applyFill="1" applyBorder="1" applyAlignment="1">
      <alignment horizontal="center" vertical="center" wrapText="1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44" xfId="0" applyNumberFormat="1" applyFont="1" applyFill="1" applyBorder="1" applyAlignment="1">
      <alignment horizontal="center" vertical="center" shrinkToFit="1"/>
    </xf>
    <xf numFmtId="49" fontId="9" fillId="0" borderId="59" xfId="0" applyNumberFormat="1" applyFont="1" applyFill="1" applyBorder="1" applyAlignment="1">
      <alignment horizontal="center" vertical="center" shrinkToFit="1"/>
    </xf>
    <xf numFmtId="0" fontId="28" fillId="0" borderId="0" xfId="2">
      <alignment vertical="center"/>
    </xf>
    <xf numFmtId="0" fontId="32" fillId="0" borderId="88" xfId="2" applyNumberFormat="1" applyFont="1" applyFill="1" applyBorder="1" applyAlignment="1" applyProtection="1">
      <alignment horizontal="center" vertical="center" shrinkToFit="1"/>
      <protection locked="0"/>
    </xf>
    <xf numFmtId="0" fontId="29" fillId="0" borderId="88" xfId="2" applyNumberFormat="1" applyFont="1" applyBorder="1" applyAlignment="1">
      <alignment horizontal="center" vertical="center" shrinkToFit="1"/>
    </xf>
    <xf numFmtId="0" fontId="32" fillId="0" borderId="7" xfId="2" applyNumberFormat="1" applyFont="1" applyFill="1" applyBorder="1" applyAlignment="1" applyProtection="1">
      <alignment horizontal="center" vertical="center" shrinkToFit="1"/>
      <protection locked="0"/>
    </xf>
    <xf numFmtId="0" fontId="28" fillId="0" borderId="0" xfId="2" applyNumberFormat="1" applyAlignment="1">
      <alignment vertical="center" shrinkToFit="1"/>
    </xf>
    <xf numFmtId="0" fontId="29" fillId="0" borderId="98" xfId="2" applyNumberFormat="1" applyFont="1" applyBorder="1" applyAlignment="1">
      <alignment horizontal="center" vertical="center" shrinkToFit="1"/>
    </xf>
    <xf numFmtId="0" fontId="32" fillId="0" borderId="0" xfId="2" quotePrefix="1" applyNumberFormat="1" applyFont="1" applyFill="1" applyBorder="1" applyAlignment="1" applyProtection="1">
      <alignment horizontal="center" vertical="center" shrinkToFit="1"/>
      <protection locked="0"/>
    </xf>
    <xf numFmtId="0" fontId="29" fillId="0" borderId="97" xfId="2" applyNumberFormat="1" applyFont="1" applyBorder="1" applyAlignment="1">
      <alignment horizontal="center" vertical="center" shrinkToFit="1"/>
    </xf>
    <xf numFmtId="0" fontId="29" fillId="0" borderId="97" xfId="2" quotePrefix="1" applyNumberFormat="1" applyFont="1" applyBorder="1" applyAlignment="1">
      <alignment horizontal="center" vertical="center" shrinkToFit="1"/>
    </xf>
    <xf numFmtId="0" fontId="29" fillId="0" borderId="99" xfId="2" applyNumberFormat="1" applyFont="1" applyBorder="1" applyAlignment="1">
      <alignment horizontal="center" vertical="center" shrinkToFit="1"/>
    </xf>
    <xf numFmtId="0" fontId="29" fillId="0" borderId="100" xfId="2" applyNumberFormat="1" applyFont="1" applyBorder="1" applyAlignment="1">
      <alignment horizontal="center" vertical="center" shrinkToFit="1"/>
    </xf>
    <xf numFmtId="0" fontId="29" fillId="0" borderId="101" xfId="2" applyNumberFormat="1" applyFont="1" applyBorder="1" applyAlignment="1">
      <alignment horizontal="center" vertical="center" shrinkToFit="1"/>
    </xf>
    <xf numFmtId="0" fontId="28" fillId="0" borderId="0" xfId="2" applyAlignment="1">
      <alignment vertical="center" shrinkToFit="1"/>
    </xf>
    <xf numFmtId="0" fontId="33" fillId="0" borderId="117" xfId="2" applyFont="1" applyBorder="1" applyAlignment="1">
      <alignment horizontal="center" vertical="center"/>
    </xf>
    <xf numFmtId="0" fontId="33" fillId="0" borderId="118" xfId="2" applyFont="1" applyBorder="1" applyAlignment="1">
      <alignment horizontal="center" vertical="center"/>
    </xf>
    <xf numFmtId="0" fontId="28" fillId="0" borderId="98" xfId="2" applyBorder="1" applyAlignment="1">
      <alignment horizontal="left" vertical="center"/>
    </xf>
    <xf numFmtId="0" fontId="28" fillId="0" borderId="97" xfId="2" applyBorder="1" applyAlignment="1">
      <alignment horizontal="left" vertical="center"/>
    </xf>
    <xf numFmtId="0" fontId="28" fillId="0" borderId="88" xfId="2" applyBorder="1" applyAlignment="1">
      <alignment horizontal="left" vertical="center"/>
    </xf>
    <xf numFmtId="0" fontId="28" fillId="0" borderId="99" xfId="2" applyBorder="1" applyAlignment="1">
      <alignment horizontal="left" vertical="center"/>
    </xf>
    <xf numFmtId="0" fontId="28" fillId="0" borderId="100" xfId="2" applyBorder="1" applyAlignment="1">
      <alignment horizontal="left" vertical="center"/>
    </xf>
    <xf numFmtId="0" fontId="28" fillId="0" borderId="101" xfId="2" applyBorder="1" applyAlignment="1">
      <alignment horizontal="left" vertical="center"/>
    </xf>
    <xf numFmtId="0" fontId="33" fillId="0" borderId="119" xfId="2" applyFont="1" applyBorder="1" applyAlignment="1">
      <alignment horizontal="center" vertical="center"/>
    </xf>
    <xf numFmtId="178" fontId="29" fillId="0" borderId="88" xfId="2" applyNumberFormat="1" applyFont="1" applyBorder="1" applyAlignment="1">
      <alignment horizontal="center" vertical="center" shrinkToFit="1"/>
    </xf>
    <xf numFmtId="0" fontId="11" fillId="0" borderId="5" xfId="0" applyNumberFormat="1" applyFont="1" applyFill="1" applyBorder="1" applyAlignment="1">
      <alignment vertical="center" shrinkToFit="1"/>
    </xf>
    <xf numFmtId="0" fontId="4" fillId="0" borderId="2" xfId="0" applyNumberFormat="1" applyFont="1" applyFill="1" applyBorder="1" applyAlignment="1">
      <alignment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49" fontId="11" fillId="0" borderId="6" xfId="0" applyNumberFormat="1" applyFont="1" applyFill="1" applyBorder="1" applyAlignment="1">
      <alignment vertical="center" wrapText="1" shrinkToFit="1"/>
    </xf>
    <xf numFmtId="49" fontId="11" fillId="0" borderId="0" xfId="0" applyNumberFormat="1" applyFont="1" applyFill="1" applyBorder="1" applyAlignment="1">
      <alignment vertical="center" wrapText="1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37" fillId="0" borderId="2" xfId="0" applyNumberFormat="1" applyFont="1" applyFill="1" applyBorder="1" applyAlignment="1">
      <alignment vertical="center" shrinkToFit="1"/>
    </xf>
    <xf numFmtId="0" fontId="37" fillId="0" borderId="3" xfId="0" applyNumberFormat="1" applyFont="1" applyFill="1" applyBorder="1" applyAlignment="1">
      <alignment vertical="center" shrinkToFit="1"/>
    </xf>
    <xf numFmtId="0" fontId="37" fillId="0" borderId="0" xfId="0" applyNumberFormat="1" applyFont="1" applyFill="1" applyBorder="1" applyAlignment="1">
      <alignment vertical="center" shrinkToFit="1"/>
    </xf>
    <xf numFmtId="0" fontId="37" fillId="0" borderId="7" xfId="0" applyNumberFormat="1" applyFont="1" applyFill="1" applyBorder="1" applyAlignment="1">
      <alignment vertical="center" shrinkToFit="1"/>
    </xf>
    <xf numFmtId="0" fontId="37" fillId="0" borderId="2" xfId="0" applyNumberFormat="1" applyFont="1" applyFill="1" applyBorder="1" applyAlignment="1">
      <alignment vertical="center" wrapText="1" shrinkToFit="1"/>
    </xf>
    <xf numFmtId="0" fontId="4" fillId="0" borderId="73" xfId="0" applyNumberFormat="1" applyFont="1" applyFill="1" applyBorder="1" applyAlignment="1">
      <alignment vertical="center" shrinkToFit="1"/>
    </xf>
    <xf numFmtId="0" fontId="4" fillId="0" borderId="74" xfId="0" applyNumberFormat="1" applyFont="1" applyFill="1" applyBorder="1" applyAlignment="1">
      <alignment vertical="center" shrinkToFit="1"/>
    </xf>
    <xf numFmtId="0" fontId="4" fillId="0" borderId="75" xfId="0" applyNumberFormat="1" applyFont="1" applyFill="1" applyBorder="1" applyAlignment="1">
      <alignment vertical="center" shrinkToFit="1"/>
    </xf>
    <xf numFmtId="0" fontId="9" fillId="0" borderId="2" xfId="0" applyNumberFormat="1" applyFont="1" applyBorder="1" applyAlignment="1">
      <alignment vertical="center" shrinkToFit="1"/>
    </xf>
    <xf numFmtId="49" fontId="11" fillId="0" borderId="6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vertical="center"/>
    </xf>
    <xf numFmtId="49" fontId="11" fillId="0" borderId="54" xfId="0" applyNumberFormat="1" applyFont="1" applyFill="1" applyBorder="1" applyAlignment="1">
      <alignment vertical="center"/>
    </xf>
    <xf numFmtId="49" fontId="11" fillId="0" borderId="28" xfId="0" applyNumberFormat="1" applyFont="1" applyFill="1" applyBorder="1" applyAlignment="1">
      <alignment vertical="center"/>
    </xf>
    <xf numFmtId="49" fontId="8" fillId="0" borderId="0" xfId="0" applyNumberFormat="1" applyFont="1" applyFill="1" applyBorder="1" applyAlignment="1">
      <alignment vertical="center"/>
    </xf>
    <xf numFmtId="49" fontId="8" fillId="0" borderId="28" xfId="0" applyNumberFormat="1" applyFont="1" applyFill="1" applyBorder="1" applyAlignment="1">
      <alignment vertical="center"/>
    </xf>
    <xf numFmtId="0" fontId="11" fillId="0" borderId="10" xfId="0" applyNumberFormat="1" applyFont="1" applyFill="1" applyBorder="1" applyAlignment="1">
      <alignment vertical="center" shrinkToFit="1"/>
    </xf>
    <xf numFmtId="0" fontId="11" fillId="0" borderId="11" xfId="0" applyNumberFormat="1" applyFont="1" applyFill="1" applyBorder="1" applyAlignment="1">
      <alignment vertical="center" shrinkToFit="1"/>
    </xf>
    <xf numFmtId="0" fontId="11" fillId="0" borderId="12" xfId="0" applyNumberFormat="1" applyFont="1" applyFill="1" applyBorder="1" applyAlignment="1">
      <alignment vertical="center" shrinkToFit="1"/>
    </xf>
    <xf numFmtId="0" fontId="11" fillId="0" borderId="38" xfId="0" applyNumberFormat="1" applyFont="1" applyFill="1" applyBorder="1" applyAlignment="1">
      <alignment vertical="center" shrinkToFit="1"/>
    </xf>
    <xf numFmtId="0" fontId="11" fillId="0" borderId="7" xfId="0" applyNumberFormat="1" applyFont="1" applyFill="1" applyBorder="1" applyAlignment="1">
      <alignment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36" xfId="0" applyNumberFormat="1" applyFont="1" applyFill="1" applyBorder="1" applyAlignment="1">
      <alignment vertical="center" shrinkToFit="1"/>
    </xf>
    <xf numFmtId="0" fontId="4" fillId="0" borderId="37" xfId="0" applyNumberFormat="1" applyFont="1" applyFill="1" applyBorder="1" applyAlignment="1">
      <alignment vertical="center" shrinkToFit="1"/>
    </xf>
    <xf numFmtId="0" fontId="4" fillId="0" borderId="8" xfId="0" applyNumberFormat="1" applyFont="1" applyFill="1" applyBorder="1" applyAlignment="1">
      <alignment vertical="center" shrinkToFit="1"/>
    </xf>
    <xf numFmtId="0" fontId="6" fillId="0" borderId="34" xfId="3" applyFont="1" applyBorder="1" applyAlignment="1">
      <alignment horizontal="center" vertical="center"/>
    </xf>
    <xf numFmtId="0" fontId="6" fillId="0" borderId="14" xfId="3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6" fillId="0" borderId="6" xfId="3" applyFont="1" applyBorder="1" applyAlignment="1">
      <alignment horizontal="center" vertical="center"/>
    </xf>
    <xf numFmtId="0" fontId="6" fillId="0" borderId="0" xfId="3" applyFont="1" applyBorder="1" applyAlignment="1">
      <alignment horizontal="center" vertical="center"/>
    </xf>
    <xf numFmtId="0" fontId="6" fillId="0" borderId="0" xfId="3" applyFon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98" xfId="3" applyFont="1" applyBorder="1" applyAlignment="1">
      <alignment horizontal="center" vertical="center"/>
    </xf>
    <xf numFmtId="0" fontId="6" fillId="0" borderId="97" xfId="3" applyFont="1" applyBorder="1" applyAlignment="1">
      <alignment horizontal="center" vertical="center"/>
    </xf>
    <xf numFmtId="0" fontId="6" fillId="0" borderId="97" xfId="3" applyFont="1" applyBorder="1" applyAlignment="1">
      <alignment horizontal="center" vertical="center" shrinkToFit="1"/>
    </xf>
    <xf numFmtId="0" fontId="39" fillId="0" borderId="1" xfId="3" applyFont="1" applyBorder="1" applyAlignment="1">
      <alignment horizontal="center" vertical="center" wrapText="1"/>
    </xf>
    <xf numFmtId="0" fontId="39" fillId="0" borderId="2" xfId="3" applyFont="1" applyBorder="1" applyAlignment="1">
      <alignment horizontal="center" vertical="center" wrapText="1"/>
    </xf>
    <xf numFmtId="0" fontId="39" fillId="0" borderId="3" xfId="3" applyFont="1" applyBorder="1" applyAlignment="1">
      <alignment horizontal="center" vertical="center" wrapText="1"/>
    </xf>
    <xf numFmtId="0" fontId="39" fillId="0" borderId="6" xfId="3" applyFont="1" applyBorder="1" applyAlignment="1">
      <alignment horizontal="center" vertical="center" wrapText="1"/>
    </xf>
    <xf numFmtId="0" fontId="39" fillId="0" borderId="0" xfId="3" applyFont="1" applyBorder="1" applyAlignment="1">
      <alignment horizontal="center" vertical="center" wrapText="1"/>
    </xf>
    <xf numFmtId="0" fontId="39" fillId="0" borderId="7" xfId="3" applyFont="1" applyBorder="1" applyAlignment="1">
      <alignment horizontal="center" vertical="center" wrapText="1"/>
    </xf>
    <xf numFmtId="0" fontId="6" fillId="0" borderId="88" xfId="3" applyFont="1" applyBorder="1" applyAlignment="1">
      <alignment horizontal="center" vertical="center"/>
    </xf>
    <xf numFmtId="49" fontId="6" fillId="0" borderId="98" xfId="3" applyNumberFormat="1" applyFont="1" applyBorder="1" applyAlignment="1">
      <alignment horizontal="center" vertical="center"/>
    </xf>
    <xf numFmtId="49" fontId="6" fillId="0" borderId="97" xfId="3" applyNumberFormat="1" applyFont="1" applyBorder="1" applyAlignment="1">
      <alignment horizontal="center" vertical="center"/>
    </xf>
    <xf numFmtId="0" fontId="6" fillId="0" borderId="133" xfId="3" applyFont="1" applyBorder="1" applyAlignment="1">
      <alignment horizontal="center" vertical="center"/>
    </xf>
    <xf numFmtId="0" fontId="6" fillId="0" borderId="97" xfId="3" applyFont="1" applyBorder="1" applyAlignment="1">
      <alignment horizontal="center" vertical="center" wrapText="1" shrinkToFit="1"/>
    </xf>
    <xf numFmtId="0" fontId="0" fillId="0" borderId="97" xfId="0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center" vertical="center"/>
    </xf>
    <xf numFmtId="0" fontId="6" fillId="0" borderId="3" xfId="3" applyFont="1" applyBorder="1" applyAlignment="1">
      <alignment horizontal="center" vertical="center"/>
    </xf>
    <xf numFmtId="0" fontId="6" fillId="0" borderId="6" xfId="3" applyFont="1" applyBorder="1" applyAlignment="1">
      <alignment horizontal="center" vertical="center"/>
    </xf>
    <xf numFmtId="0" fontId="6" fillId="0" borderId="0" xfId="3" applyFont="1" applyBorder="1" applyAlignment="1">
      <alignment horizontal="center" vertical="center"/>
    </xf>
    <xf numFmtId="0" fontId="6" fillId="0" borderId="7" xfId="3" applyFont="1" applyBorder="1" applyAlignment="1">
      <alignment horizontal="center" vertical="center"/>
    </xf>
    <xf numFmtId="0" fontId="53" fillId="5" borderId="73" xfId="3" applyFont="1" applyFill="1" applyBorder="1" applyAlignment="1">
      <alignment horizontal="center" vertical="center"/>
    </xf>
    <xf numFmtId="0" fontId="53" fillId="5" borderId="74" xfId="3" applyFont="1" applyFill="1" applyBorder="1" applyAlignment="1">
      <alignment horizontal="center" vertical="center"/>
    </xf>
    <xf numFmtId="0" fontId="53" fillId="5" borderId="151" xfId="3" applyFont="1" applyFill="1" applyBorder="1" applyAlignment="1">
      <alignment horizontal="center" vertical="center" shrinkToFit="1"/>
    </xf>
    <xf numFmtId="0" fontId="53" fillId="5" borderId="152" xfId="3" applyFont="1" applyFill="1" applyBorder="1" applyAlignment="1">
      <alignment horizontal="center" vertical="center" shrinkToFit="1"/>
    </xf>
    <xf numFmtId="0" fontId="53" fillId="5" borderId="153" xfId="3" applyFont="1" applyFill="1" applyBorder="1" applyAlignment="1">
      <alignment horizontal="center" vertical="center" shrinkToFit="1"/>
    </xf>
    <xf numFmtId="0" fontId="53" fillId="5" borderId="73" xfId="0" applyFont="1" applyFill="1" applyBorder="1" applyAlignment="1">
      <alignment horizontal="center" vertical="center"/>
    </xf>
    <xf numFmtId="0" fontId="53" fillId="5" borderId="74" xfId="0" applyFont="1" applyFill="1" applyBorder="1" applyAlignment="1">
      <alignment horizontal="center" vertical="center"/>
    </xf>
    <xf numFmtId="0" fontId="53" fillId="5" borderId="75" xfId="0" applyFont="1" applyFill="1" applyBorder="1" applyAlignment="1">
      <alignment horizontal="center" vertical="center"/>
    </xf>
    <xf numFmtId="0" fontId="6" fillId="0" borderId="54" xfId="3" applyFont="1" applyBorder="1" applyAlignment="1">
      <alignment horizontal="center" vertical="center"/>
    </xf>
    <xf numFmtId="0" fontId="6" fillId="0" borderId="28" xfId="3" applyFont="1" applyBorder="1" applyAlignment="1">
      <alignment horizontal="center" vertical="center"/>
    </xf>
    <xf numFmtId="0" fontId="6" fillId="0" borderId="76" xfId="3" applyFont="1" applyBorder="1" applyAlignment="1">
      <alignment horizontal="center" vertical="center" shrinkToFit="1"/>
    </xf>
    <xf numFmtId="0" fontId="6" fillId="0" borderId="77" xfId="3" applyFont="1" applyBorder="1" applyAlignment="1">
      <alignment horizontal="center" vertical="center" shrinkToFit="1"/>
    </xf>
    <xf numFmtId="0" fontId="6" fillId="0" borderId="78" xfId="3" applyFont="1" applyBorder="1" applyAlignment="1">
      <alignment horizontal="center" vertical="center" shrinkToFit="1"/>
    </xf>
    <xf numFmtId="0" fontId="0" fillId="0" borderId="5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77" fontId="4" fillId="7" borderId="116" xfId="0" applyNumberFormat="1" applyFont="1" applyFill="1" applyBorder="1" applyAlignment="1">
      <alignment horizontal="center" vertical="center" shrinkToFit="1"/>
    </xf>
    <xf numFmtId="177" fontId="4" fillId="7" borderId="9" xfId="0" applyNumberFormat="1" applyFont="1" applyFill="1" applyBorder="1" applyAlignment="1">
      <alignment horizontal="center" vertical="center" shrinkToFit="1"/>
    </xf>
    <xf numFmtId="177" fontId="4" fillId="0" borderId="17" xfId="0" applyNumberFormat="1" applyFont="1" applyFill="1" applyBorder="1" applyAlignment="1">
      <alignment horizontal="center" vertical="center" shrinkToFit="1"/>
    </xf>
    <xf numFmtId="177" fontId="4" fillId="0" borderId="9" xfId="0" applyNumberFormat="1" applyFont="1" applyFill="1" applyBorder="1" applyAlignment="1">
      <alignment horizontal="center" vertical="center" shrinkToFit="1"/>
    </xf>
    <xf numFmtId="177" fontId="4" fillId="0" borderId="18" xfId="0" applyNumberFormat="1" applyFont="1" applyFill="1" applyBorder="1" applyAlignment="1">
      <alignment horizontal="center" vertical="center" shrinkToFit="1"/>
    </xf>
    <xf numFmtId="0" fontId="11" fillId="0" borderId="126" xfId="0" applyNumberFormat="1" applyFont="1" applyFill="1" applyBorder="1" applyAlignment="1">
      <alignment horizontal="center" vertical="center" wrapText="1" shrinkToFit="1"/>
    </xf>
    <xf numFmtId="0" fontId="11" fillId="0" borderId="127" xfId="0" applyNumberFormat="1" applyFont="1" applyFill="1" applyBorder="1" applyAlignment="1">
      <alignment horizontal="center" vertical="center" shrinkToFit="1"/>
    </xf>
    <xf numFmtId="0" fontId="11" fillId="0" borderId="128" xfId="0" applyNumberFormat="1" applyFont="1" applyFill="1" applyBorder="1" applyAlignment="1">
      <alignment horizontal="center" vertical="center" shrinkToFit="1"/>
    </xf>
    <xf numFmtId="0" fontId="23" fillId="0" borderId="4" xfId="0" applyNumberFormat="1" applyFont="1" applyFill="1" applyBorder="1" applyAlignment="1">
      <alignment horizontal="left" vertical="top" shrinkToFit="1"/>
    </xf>
    <xf numFmtId="0" fontId="23" fillId="0" borderId="2" xfId="0" applyNumberFormat="1" applyFont="1" applyFill="1" applyBorder="1" applyAlignment="1">
      <alignment horizontal="left" vertical="top" shrinkToFit="1"/>
    </xf>
    <xf numFmtId="0" fontId="23" fillId="0" borderId="3" xfId="0" applyNumberFormat="1" applyFont="1" applyFill="1" applyBorder="1" applyAlignment="1">
      <alignment horizontal="left" vertical="top" shrinkToFit="1"/>
    </xf>
    <xf numFmtId="0" fontId="23" fillId="0" borderId="105" xfId="0" applyNumberFormat="1" applyFont="1" applyFill="1" applyBorder="1" applyAlignment="1">
      <alignment horizontal="left" vertical="top" shrinkToFit="1"/>
    </xf>
    <xf numFmtId="0" fontId="23" fillId="0" borderId="37" xfId="0" applyNumberFormat="1" applyFont="1" applyFill="1" applyBorder="1" applyAlignment="1">
      <alignment horizontal="left" vertical="top" shrinkToFit="1"/>
    </xf>
    <xf numFmtId="0" fontId="23" fillId="0" borderId="8" xfId="0" applyNumberFormat="1" applyFont="1" applyFill="1" applyBorder="1" applyAlignment="1">
      <alignment horizontal="left" vertical="top" shrinkToFit="1"/>
    </xf>
    <xf numFmtId="0" fontId="11" fillId="9" borderId="1" xfId="0" applyNumberFormat="1" applyFont="1" applyFill="1" applyBorder="1" applyAlignment="1">
      <alignment horizontal="center" vertical="center" shrinkToFit="1"/>
    </xf>
    <xf numFmtId="0" fontId="11" fillId="9" borderId="2" xfId="0" applyNumberFormat="1" applyFont="1" applyFill="1" applyBorder="1" applyAlignment="1">
      <alignment horizontal="center" vertical="center" shrinkToFit="1"/>
    </xf>
    <xf numFmtId="0" fontId="11" fillId="9" borderId="3" xfId="0" applyNumberFormat="1" applyFont="1" applyFill="1" applyBorder="1" applyAlignment="1">
      <alignment horizontal="center" vertical="center" shrinkToFit="1"/>
    </xf>
    <xf numFmtId="0" fontId="11" fillId="0" borderId="129" xfId="0" applyNumberFormat="1" applyFont="1" applyFill="1" applyBorder="1" applyAlignment="1">
      <alignment horizontal="center" vertical="center" wrapText="1" shrinkToFit="1"/>
    </xf>
    <xf numFmtId="0" fontId="11" fillId="0" borderId="130" xfId="0" applyNumberFormat="1" applyFont="1" applyFill="1" applyBorder="1" applyAlignment="1">
      <alignment horizontal="center" vertical="center" wrapText="1" shrinkToFit="1"/>
    </xf>
    <xf numFmtId="0" fontId="11" fillId="0" borderId="131" xfId="0" applyNumberFormat="1" applyFont="1" applyFill="1" applyBorder="1" applyAlignment="1">
      <alignment horizontal="center" vertical="center" wrapText="1" shrinkToFit="1"/>
    </xf>
    <xf numFmtId="0" fontId="4" fillId="0" borderId="45" xfId="0" applyNumberFormat="1" applyFont="1" applyFill="1" applyBorder="1" applyAlignment="1">
      <alignment horizontal="center" vertical="center" shrinkToFit="1"/>
    </xf>
    <xf numFmtId="0" fontId="4" fillId="0" borderId="46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4" fillId="0" borderId="27" xfId="0" applyNumberFormat="1" applyFont="1" applyFill="1" applyBorder="1" applyAlignment="1">
      <alignment horizontal="center" vertical="center" shrinkToFit="1"/>
    </xf>
    <xf numFmtId="0" fontId="4" fillId="0" borderId="26" xfId="0" applyFont="1" applyFill="1" applyBorder="1" applyAlignment="1">
      <alignment horizontal="center" vertical="center" wrapText="1" shrinkToFit="1"/>
    </xf>
    <xf numFmtId="0" fontId="4" fillId="0" borderId="19" xfId="0" applyFont="1" applyFill="1" applyBorder="1" applyAlignment="1">
      <alignment horizontal="center" vertical="center" wrapText="1" shrinkToFit="1"/>
    </xf>
    <xf numFmtId="177" fontId="26" fillId="6" borderId="13" xfId="0" applyNumberFormat="1" applyFont="1" applyFill="1" applyBorder="1" applyAlignment="1">
      <alignment horizontal="center" vertical="center" shrinkToFit="1"/>
    </xf>
    <xf numFmtId="177" fontId="26" fillId="6" borderId="14" xfId="0" applyNumberFormat="1" applyFont="1" applyFill="1" applyBorder="1" applyAlignment="1">
      <alignment horizontal="center" vertical="center" shrinkToFit="1"/>
    </xf>
    <xf numFmtId="177" fontId="26" fillId="6" borderId="35" xfId="0" applyNumberFormat="1" applyFont="1" applyFill="1" applyBorder="1" applyAlignment="1">
      <alignment horizontal="center" vertical="center" shrinkToFit="1"/>
    </xf>
    <xf numFmtId="0" fontId="11" fillId="0" borderId="26" xfId="0" applyNumberFormat="1" applyFont="1" applyFill="1" applyBorder="1" applyAlignment="1">
      <alignment horizontal="center" vertical="center" wrapText="1" shrinkToFit="1"/>
    </xf>
    <xf numFmtId="0" fontId="11" fillId="0" borderId="19" xfId="0" applyNumberFormat="1" applyFont="1" applyFill="1" applyBorder="1" applyAlignment="1">
      <alignment horizontal="center" vertical="center" shrinkToFit="1"/>
    </xf>
    <xf numFmtId="0" fontId="11" fillId="0" borderId="6" xfId="0" applyNumberFormat="1" applyFont="1" applyFill="1" applyBorder="1" applyAlignment="1">
      <alignment horizontal="center" vertical="center" shrinkToFit="1"/>
    </xf>
    <xf numFmtId="0" fontId="11" fillId="0" borderId="27" xfId="0" applyNumberFormat="1" applyFont="1" applyFill="1" applyBorder="1" applyAlignment="1">
      <alignment horizontal="center" vertical="center" shrinkToFit="1"/>
    </xf>
    <xf numFmtId="177" fontId="25" fillId="0" borderId="10" xfId="0" applyNumberFormat="1" applyFont="1" applyFill="1" applyBorder="1" applyAlignment="1">
      <alignment horizontal="center" vertical="center" shrinkToFit="1"/>
    </xf>
    <xf numFmtId="177" fontId="25" fillId="0" borderId="11" xfId="0" applyNumberFormat="1" applyFont="1" applyFill="1" applyBorder="1" applyAlignment="1">
      <alignment horizontal="center" vertical="center" shrinkToFit="1"/>
    </xf>
    <xf numFmtId="177" fontId="25" fillId="0" borderId="12" xfId="0" applyNumberFormat="1" applyFont="1" applyFill="1" applyBorder="1" applyAlignment="1">
      <alignment horizontal="center" vertical="center" shrinkToFit="1"/>
    </xf>
    <xf numFmtId="177" fontId="25" fillId="0" borderId="38" xfId="0" applyNumberFormat="1" applyFont="1" applyFill="1" applyBorder="1" applyAlignment="1">
      <alignment horizontal="center" vertical="center" shrinkToFit="1"/>
    </xf>
    <xf numFmtId="177" fontId="25" fillId="0" borderId="0" xfId="0" applyNumberFormat="1" applyFont="1" applyFill="1" applyBorder="1" applyAlignment="1">
      <alignment horizontal="center" vertical="center" shrinkToFit="1"/>
    </xf>
    <xf numFmtId="177" fontId="25" fillId="0" borderId="7" xfId="0" applyNumberFormat="1" applyFont="1" applyFill="1" applyBorder="1" applyAlignment="1">
      <alignment horizontal="center" vertical="center" shrinkToFit="1"/>
    </xf>
    <xf numFmtId="0" fontId="9" fillId="0" borderId="82" xfId="0" applyFont="1" applyBorder="1" applyAlignment="1">
      <alignment horizontal="center" vertical="center" shrinkToFit="1"/>
    </xf>
    <xf numFmtId="0" fontId="9" fillId="0" borderId="79" xfId="0" applyFont="1" applyBorder="1" applyAlignment="1">
      <alignment horizontal="center" vertical="center" shrinkToFit="1"/>
    </xf>
    <xf numFmtId="49" fontId="4" fillId="0" borderId="57" xfId="0" applyNumberFormat="1" applyFont="1" applyFill="1" applyBorder="1" applyAlignment="1">
      <alignment horizontal="center" vertical="center" wrapText="1" shrinkToFit="1"/>
    </xf>
    <xf numFmtId="49" fontId="4" fillId="0" borderId="85" xfId="0" applyNumberFormat="1" applyFont="1" applyFill="1" applyBorder="1" applyAlignment="1">
      <alignment horizontal="center" vertical="center" wrapText="1" shrinkToFit="1"/>
    </xf>
    <xf numFmtId="49" fontId="4" fillId="0" borderId="77" xfId="0" applyNumberFormat="1" applyFont="1" applyFill="1" applyBorder="1" applyAlignment="1">
      <alignment horizontal="center" vertical="center" wrapText="1" shrinkToFit="1"/>
    </xf>
    <xf numFmtId="49" fontId="4" fillId="0" borderId="86" xfId="0" applyNumberFormat="1" applyFont="1" applyFill="1" applyBorder="1" applyAlignment="1">
      <alignment horizontal="center" vertical="center" wrapText="1" shrinkToFit="1"/>
    </xf>
    <xf numFmtId="0" fontId="4" fillId="0" borderId="39" xfId="0" applyNumberFormat="1" applyFont="1" applyFill="1" applyBorder="1" applyAlignment="1">
      <alignment horizontal="center" vertical="center" shrinkToFit="1"/>
    </xf>
    <xf numFmtId="0" fontId="4" fillId="0" borderId="40" xfId="0" applyNumberFormat="1" applyFont="1" applyFill="1" applyBorder="1" applyAlignment="1">
      <alignment horizontal="center" vertical="center" shrinkToFit="1"/>
    </xf>
    <xf numFmtId="0" fontId="11" fillId="0" borderId="41" xfId="0" applyNumberFormat="1" applyFont="1" applyFill="1" applyBorder="1" applyAlignment="1">
      <alignment horizontal="center" vertical="center" wrapText="1" shrinkToFit="1"/>
    </xf>
    <xf numFmtId="0" fontId="11" fillId="0" borderId="42" xfId="0" applyNumberFormat="1" applyFont="1" applyFill="1" applyBorder="1" applyAlignment="1">
      <alignment horizontal="center" vertical="center" wrapText="1" shrinkToFit="1"/>
    </xf>
    <xf numFmtId="0" fontId="11" fillId="0" borderId="43" xfId="0" applyNumberFormat="1" applyFont="1" applyFill="1" applyBorder="1" applyAlignment="1">
      <alignment horizontal="center" vertical="center" wrapText="1" shrinkToFit="1"/>
    </xf>
    <xf numFmtId="0" fontId="11" fillId="0" borderId="37" xfId="0" applyNumberFormat="1" applyFont="1" applyFill="1" applyBorder="1" applyAlignment="1">
      <alignment horizontal="center" vertical="center" shrinkToFit="1"/>
    </xf>
    <xf numFmtId="0" fontId="11" fillId="0" borderId="8" xfId="0" applyNumberFormat="1" applyFont="1" applyFill="1" applyBorder="1" applyAlignment="1">
      <alignment horizontal="center" vertical="center" shrinkToFit="1"/>
    </xf>
    <xf numFmtId="0" fontId="11" fillId="0" borderId="38" xfId="0" applyNumberFormat="1" applyFont="1" applyFill="1" applyBorder="1" applyAlignment="1">
      <alignment horizontal="center" vertical="center" wrapText="1" shrinkToFit="1"/>
    </xf>
    <xf numFmtId="0" fontId="11" fillId="0" borderId="0" xfId="0" applyNumberFormat="1" applyFont="1" applyFill="1" applyBorder="1" applyAlignment="1">
      <alignment horizontal="center" vertical="center" wrapText="1" shrinkToFit="1"/>
    </xf>
    <xf numFmtId="0" fontId="11" fillId="0" borderId="7" xfId="0" applyNumberFormat="1" applyFont="1" applyFill="1" applyBorder="1" applyAlignment="1">
      <alignment horizontal="center" vertical="center" wrapText="1" shrinkToFit="1"/>
    </xf>
    <xf numFmtId="0" fontId="11" fillId="0" borderId="116" xfId="0" applyNumberFormat="1" applyFont="1" applyFill="1" applyBorder="1" applyAlignment="1">
      <alignment horizontal="center" vertical="center" shrinkToFit="1"/>
    </xf>
    <xf numFmtId="0" fontId="11" fillId="0" borderId="9" xfId="0" applyNumberFormat="1" applyFont="1" applyFill="1" applyBorder="1" applyAlignment="1">
      <alignment horizontal="center" vertical="center" shrinkToFit="1"/>
    </xf>
    <xf numFmtId="0" fontId="11" fillId="0" borderId="17" xfId="0" applyNumberFormat="1" applyFont="1" applyFill="1" applyBorder="1" applyAlignment="1">
      <alignment horizontal="center" vertical="center" shrinkToFit="1"/>
    </xf>
    <xf numFmtId="0" fontId="11" fillId="0" borderId="16" xfId="0" applyNumberFormat="1" applyFont="1" applyFill="1" applyBorder="1" applyAlignment="1">
      <alignment horizontal="center" vertical="center" shrinkToFit="1"/>
    </xf>
    <xf numFmtId="0" fontId="11" fillId="0" borderId="22" xfId="0" applyNumberFormat="1" applyFont="1" applyFill="1" applyBorder="1" applyAlignment="1">
      <alignment horizontal="center" vertical="center" shrinkToFit="1"/>
    </xf>
    <xf numFmtId="0" fontId="11" fillId="0" borderId="24" xfId="0" applyNumberFormat="1" applyFont="1" applyFill="1" applyBorder="1" applyAlignment="1">
      <alignment horizontal="center" vertical="center" shrinkToFit="1"/>
    </xf>
    <xf numFmtId="0" fontId="11" fillId="9" borderId="87" xfId="0" applyNumberFormat="1" applyFont="1" applyFill="1" applyBorder="1" applyAlignment="1">
      <alignment horizontal="center" vertical="center" shrinkToFit="1"/>
    </xf>
    <xf numFmtId="0" fontId="11" fillId="9" borderId="24" xfId="0" applyNumberFormat="1" applyFont="1" applyFill="1" applyBorder="1" applyAlignment="1">
      <alignment horizontal="center" vertical="center" shrinkToFit="1"/>
    </xf>
    <xf numFmtId="0" fontId="11" fillId="9" borderId="23" xfId="0" applyNumberFormat="1" applyFont="1" applyFill="1" applyBorder="1" applyAlignment="1">
      <alignment horizontal="center" vertical="center" shrinkToFit="1"/>
    </xf>
    <xf numFmtId="0" fontId="11" fillId="9" borderId="25" xfId="0" applyNumberFormat="1" applyFont="1" applyFill="1" applyBorder="1" applyAlignment="1">
      <alignment horizontal="center" vertical="center" shrinkToFit="1"/>
    </xf>
    <xf numFmtId="0" fontId="11" fillId="9" borderId="99" xfId="0" applyNumberFormat="1" applyFont="1" applyFill="1" applyBorder="1" applyAlignment="1">
      <alignment horizontal="center" vertical="center" shrinkToFit="1"/>
    </xf>
    <xf numFmtId="0" fontId="11" fillId="9" borderId="100" xfId="0" applyNumberFormat="1" applyFont="1" applyFill="1" applyBorder="1" applyAlignment="1">
      <alignment horizontal="center" vertical="center" shrinkToFit="1"/>
    </xf>
    <xf numFmtId="0" fontId="11" fillId="0" borderId="105" xfId="0" applyNumberFormat="1" applyFont="1" applyFill="1" applyBorder="1" applyAlignment="1">
      <alignment horizontal="center" vertical="center" shrinkToFit="1"/>
    </xf>
    <xf numFmtId="0" fontId="11" fillId="0" borderId="104" xfId="0" applyNumberFormat="1" applyFont="1" applyFill="1" applyBorder="1" applyAlignment="1">
      <alignment horizontal="center" vertical="center" shrinkToFit="1"/>
    </xf>
    <xf numFmtId="0" fontId="8" fillId="2" borderId="118" xfId="0" applyNumberFormat="1" applyFont="1" applyFill="1" applyBorder="1" applyAlignment="1">
      <alignment horizontal="center" vertical="center" wrapText="1" shrinkToFit="1"/>
    </xf>
    <xf numFmtId="0" fontId="8" fillId="2" borderId="118" xfId="0" applyNumberFormat="1" applyFont="1" applyFill="1" applyBorder="1" applyAlignment="1">
      <alignment horizontal="center" vertical="center" shrinkToFit="1"/>
    </xf>
    <xf numFmtId="0" fontId="8" fillId="2" borderId="100" xfId="0" applyNumberFormat="1" applyFont="1" applyFill="1" applyBorder="1" applyAlignment="1">
      <alignment horizontal="center" vertical="center" shrinkToFit="1"/>
    </xf>
    <xf numFmtId="0" fontId="11" fillId="0" borderId="118" xfId="0" applyNumberFormat="1" applyFont="1" applyFill="1" applyBorder="1" applyAlignment="1">
      <alignment horizontal="center" vertical="center" wrapText="1" shrinkToFit="1"/>
    </xf>
    <xf numFmtId="0" fontId="11" fillId="0" borderId="118" xfId="0" applyNumberFormat="1" applyFont="1" applyFill="1" applyBorder="1" applyAlignment="1">
      <alignment horizontal="center" vertical="center" shrinkToFit="1"/>
    </xf>
    <xf numFmtId="0" fontId="11" fillId="0" borderId="100" xfId="0" applyNumberFormat="1" applyFont="1" applyFill="1" applyBorder="1" applyAlignment="1">
      <alignment horizontal="center" vertical="center" shrinkToFit="1"/>
    </xf>
    <xf numFmtId="0" fontId="11" fillId="0" borderId="4" xfId="0" applyNumberFormat="1" applyFont="1" applyFill="1" applyBorder="1" applyAlignment="1">
      <alignment horizontal="center" vertical="center" shrinkToFit="1"/>
    </xf>
    <xf numFmtId="0" fontId="11" fillId="0" borderId="2" xfId="0" applyNumberFormat="1" applyFont="1" applyFill="1" applyBorder="1" applyAlignment="1">
      <alignment horizontal="center" vertical="center" shrinkToFit="1"/>
    </xf>
    <xf numFmtId="0" fontId="9" fillId="0" borderId="81" xfId="0" applyFont="1" applyBorder="1" applyAlignment="1">
      <alignment horizontal="center" vertical="center" shrinkToFit="1"/>
    </xf>
    <xf numFmtId="0" fontId="9" fillId="0" borderId="76" xfId="0" applyFont="1" applyBorder="1" applyAlignment="1">
      <alignment horizontal="center" vertical="center" shrinkToFit="1"/>
    </xf>
    <xf numFmtId="49" fontId="4" fillId="0" borderId="58" xfId="0" applyNumberFormat="1" applyFont="1" applyFill="1" applyBorder="1" applyAlignment="1">
      <alignment horizontal="center" vertical="center" wrapText="1" shrinkToFit="1"/>
    </xf>
    <xf numFmtId="49" fontId="4" fillId="0" borderId="78" xfId="0" applyNumberFormat="1" applyFont="1" applyFill="1" applyBorder="1" applyAlignment="1">
      <alignment horizontal="center" vertical="center" wrapText="1" shrinkToFit="1"/>
    </xf>
    <xf numFmtId="49" fontId="4" fillId="0" borderId="83" xfId="0" applyNumberFormat="1" applyFont="1" applyFill="1" applyBorder="1" applyAlignment="1">
      <alignment horizontal="center" vertical="center" wrapText="1" shrinkToFit="1"/>
    </xf>
    <xf numFmtId="49" fontId="4" fillId="0" borderId="80" xfId="0" applyNumberFormat="1" applyFont="1" applyFill="1" applyBorder="1" applyAlignment="1">
      <alignment horizontal="center" vertical="center" wrapText="1" shrinkToFit="1"/>
    </xf>
    <xf numFmtId="0" fontId="9" fillId="0" borderId="84" xfId="0" applyFont="1" applyBorder="1" applyAlignment="1">
      <alignment horizontal="center" vertical="center" shrinkToFit="1"/>
    </xf>
    <xf numFmtId="0" fontId="9" fillId="0" borderId="56" xfId="0" applyFont="1" applyBorder="1" applyAlignment="1">
      <alignment horizontal="center" vertical="center" shrinkToFit="1"/>
    </xf>
    <xf numFmtId="0" fontId="11" fillId="0" borderId="18" xfId="0" applyNumberFormat="1" applyFont="1" applyFill="1" applyBorder="1" applyAlignment="1">
      <alignment horizontal="center" vertical="center" shrinkToFit="1"/>
    </xf>
    <xf numFmtId="49" fontId="4" fillId="0" borderId="10" xfId="0" applyNumberFormat="1" applyFont="1" applyFill="1" applyBorder="1" applyAlignment="1">
      <alignment horizontal="center" vertical="center" shrinkToFit="1"/>
    </xf>
    <xf numFmtId="49" fontId="4" fillId="0" borderId="69" xfId="0" applyNumberFormat="1" applyFont="1" applyFill="1" applyBorder="1" applyAlignment="1">
      <alignment horizontal="center" vertical="center" shrinkToFit="1"/>
    </xf>
    <xf numFmtId="49" fontId="4" fillId="0" borderId="62" xfId="0" applyNumberFormat="1" applyFont="1" applyFill="1" applyBorder="1" applyAlignment="1">
      <alignment horizontal="center" vertical="center" shrinkToFit="1"/>
    </xf>
    <xf numFmtId="49" fontId="4" fillId="0" borderId="134" xfId="0" applyNumberFormat="1" applyFont="1" applyFill="1" applyBorder="1" applyAlignment="1">
      <alignment horizontal="center" vertical="center" shrinkToFit="1"/>
    </xf>
    <xf numFmtId="49" fontId="4" fillId="0" borderId="135" xfId="0" applyNumberFormat="1" applyFont="1" applyFill="1" applyBorder="1" applyAlignment="1">
      <alignment horizontal="center" vertical="center" wrapText="1" shrinkToFit="1"/>
    </xf>
    <xf numFmtId="49" fontId="4" fillId="0" borderId="72" xfId="0" applyNumberFormat="1" applyFont="1" applyFill="1" applyBorder="1" applyAlignment="1">
      <alignment horizontal="center" vertical="center" wrapText="1" shrinkToFit="1"/>
    </xf>
    <xf numFmtId="49" fontId="4" fillId="0" borderId="108" xfId="0" applyNumberFormat="1" applyFont="1" applyFill="1" applyBorder="1" applyAlignment="1">
      <alignment horizontal="center" vertical="center" wrapText="1" shrinkToFit="1"/>
    </xf>
    <xf numFmtId="49" fontId="4" fillId="0" borderId="11" xfId="0" applyNumberFormat="1" applyFont="1" applyFill="1" applyBorder="1" applyAlignment="1">
      <alignment horizontal="center" vertical="center" shrinkToFit="1"/>
    </xf>
    <xf numFmtId="49" fontId="4" fillId="0" borderId="109" xfId="0" applyNumberFormat="1" applyFont="1" applyFill="1" applyBorder="1" applyAlignment="1">
      <alignment horizontal="center" vertical="center" shrinkToFit="1"/>
    </xf>
    <xf numFmtId="49" fontId="4" fillId="0" borderId="63" xfId="0" applyNumberFormat="1" applyFont="1" applyFill="1" applyBorder="1" applyAlignment="1">
      <alignment horizontal="center" vertical="center" shrinkToFit="1"/>
    </xf>
    <xf numFmtId="49" fontId="9" fillId="0" borderId="96" xfId="0" applyNumberFormat="1" applyFont="1" applyFill="1" applyBorder="1" applyAlignment="1">
      <alignment horizontal="center" vertical="center" shrinkToFit="1"/>
    </xf>
    <xf numFmtId="49" fontId="9" fillId="0" borderId="136" xfId="0" applyNumberFormat="1" applyFont="1" applyFill="1" applyBorder="1" applyAlignment="1">
      <alignment horizontal="center" vertical="center" shrinkToFit="1"/>
    </xf>
    <xf numFmtId="0" fontId="11" fillId="0" borderId="10" xfId="0" applyNumberFormat="1" applyFont="1" applyFill="1" applyBorder="1" applyAlignment="1">
      <alignment horizontal="center" vertical="center" shrinkToFit="1"/>
    </xf>
    <xf numFmtId="0" fontId="11" fillId="0" borderId="11" xfId="0" applyNumberFormat="1" applyFont="1" applyFill="1" applyBorder="1" applyAlignment="1">
      <alignment horizontal="center" vertical="center" shrinkToFit="1"/>
    </xf>
    <xf numFmtId="0" fontId="11" fillId="0" borderId="32" xfId="0" applyNumberFormat="1" applyFont="1" applyFill="1" applyBorder="1" applyAlignment="1">
      <alignment horizontal="center" vertical="center" shrinkToFit="1"/>
    </xf>
    <xf numFmtId="0" fontId="11" fillId="0" borderId="28" xfId="0" applyNumberFormat="1" applyFont="1" applyFill="1" applyBorder="1" applyAlignment="1">
      <alignment horizontal="center" vertical="center" shrinkToFit="1"/>
    </xf>
    <xf numFmtId="0" fontId="11" fillId="0" borderId="29" xfId="0" applyNumberFormat="1" applyFont="1" applyFill="1" applyBorder="1" applyAlignment="1">
      <alignment horizontal="center" vertical="center" shrinkToFit="1"/>
    </xf>
    <xf numFmtId="49" fontId="27" fillId="6" borderId="10" xfId="0" applyNumberFormat="1" applyFont="1" applyFill="1" applyBorder="1" applyAlignment="1">
      <alignment horizontal="center" vertical="center" shrinkToFit="1"/>
    </xf>
    <xf numFmtId="49" fontId="27" fillId="6" borderId="11" xfId="0" applyNumberFormat="1" applyFont="1" applyFill="1" applyBorder="1" applyAlignment="1">
      <alignment horizontal="center" vertical="center" shrinkToFit="1"/>
    </xf>
    <xf numFmtId="49" fontId="27" fillId="6" borderId="12" xfId="0" applyNumberFormat="1" applyFont="1" applyFill="1" applyBorder="1" applyAlignment="1">
      <alignment horizontal="center" vertical="center" shrinkToFit="1"/>
    </xf>
    <xf numFmtId="49" fontId="27" fillId="6" borderId="32" xfId="0" applyNumberFormat="1" applyFont="1" applyFill="1" applyBorder="1" applyAlignment="1">
      <alignment horizontal="center" vertical="center" shrinkToFit="1"/>
    </xf>
    <xf numFmtId="49" fontId="27" fillId="6" borderId="28" xfId="0" applyNumberFormat="1" applyFont="1" applyFill="1" applyBorder="1" applyAlignment="1">
      <alignment horizontal="center" vertical="center" shrinkToFit="1"/>
    </xf>
    <xf numFmtId="49" fontId="27" fillId="6" borderId="33" xfId="0" applyNumberFormat="1" applyFont="1" applyFill="1" applyBorder="1" applyAlignment="1">
      <alignment horizontal="center" vertical="center" shrinkToFit="1"/>
    </xf>
    <xf numFmtId="49" fontId="4" fillId="0" borderId="58" xfId="0" applyNumberFormat="1" applyFont="1" applyFill="1" applyBorder="1" applyAlignment="1">
      <alignment horizontal="center" vertical="center" shrinkToFit="1"/>
    </xf>
    <xf numFmtId="49" fontId="4" fillId="0" borderId="27" xfId="0" applyNumberFormat="1" applyFont="1" applyFill="1" applyBorder="1" applyAlignment="1">
      <alignment horizontal="center" vertical="center" shrinkToFit="1"/>
    </xf>
    <xf numFmtId="49" fontId="4" fillId="0" borderId="78" xfId="0" applyNumberFormat="1" applyFont="1" applyFill="1" applyBorder="1" applyAlignment="1">
      <alignment horizontal="center" vertical="center" shrinkToFit="1"/>
    </xf>
    <xf numFmtId="49" fontId="4" fillId="0" borderId="29" xfId="0" applyNumberFormat="1" applyFont="1" applyFill="1" applyBorder="1" applyAlignment="1">
      <alignment horizontal="center" vertical="center" shrinkToFit="1"/>
    </xf>
    <xf numFmtId="49" fontId="4" fillId="0" borderId="47" xfId="0" applyNumberFormat="1" applyFont="1" applyFill="1" applyBorder="1" applyAlignment="1">
      <alignment horizontal="center" vertical="center" shrinkToFit="1"/>
    </xf>
    <xf numFmtId="49" fontId="4" fillId="0" borderId="48" xfId="0" applyNumberFormat="1" applyFont="1" applyFill="1" applyBorder="1" applyAlignment="1">
      <alignment horizontal="center" vertical="center" shrinkToFit="1"/>
    </xf>
    <xf numFmtId="49" fontId="4" fillId="0" borderId="0" xfId="0" applyNumberFormat="1" applyFont="1" applyFill="1" applyBorder="1" applyAlignment="1">
      <alignment horizontal="center" vertical="center" shrinkToFit="1"/>
    </xf>
    <xf numFmtId="49" fontId="4" fillId="0" borderId="28" xfId="0" applyNumberFormat="1" applyFont="1" applyFill="1" applyBorder="1" applyAlignment="1">
      <alignment horizontal="center" vertical="center" shrinkToFit="1"/>
    </xf>
    <xf numFmtId="0" fontId="11" fillId="5" borderId="97" xfId="0" applyNumberFormat="1" applyFont="1" applyFill="1" applyBorder="1" applyAlignment="1">
      <alignment horizontal="center" vertical="center" wrapText="1" shrinkToFit="1"/>
    </xf>
    <xf numFmtId="0" fontId="11" fillId="5" borderId="88" xfId="0" applyNumberFormat="1" applyFont="1" applyFill="1" applyBorder="1" applyAlignment="1">
      <alignment horizontal="center" vertical="center" wrapText="1" shrinkToFit="1"/>
    </xf>
    <xf numFmtId="0" fontId="8" fillId="3" borderId="6" xfId="0" applyNumberFormat="1" applyFont="1" applyFill="1" applyBorder="1" applyAlignment="1">
      <alignment horizontal="center" vertical="center" shrinkToFit="1"/>
    </xf>
    <xf numFmtId="0" fontId="8" fillId="3" borderId="0" xfId="0" applyNumberFormat="1" applyFont="1" applyFill="1" applyBorder="1" applyAlignment="1">
      <alignment horizontal="center" vertical="center" shrinkToFit="1"/>
    </xf>
    <xf numFmtId="0" fontId="8" fillId="3" borderId="54" xfId="0" applyNumberFormat="1" applyFont="1" applyFill="1" applyBorder="1" applyAlignment="1">
      <alignment horizontal="center" vertical="center" shrinkToFit="1"/>
    </xf>
    <xf numFmtId="0" fontId="8" fillId="3" borderId="28" xfId="0" applyNumberFormat="1" applyFont="1" applyFill="1" applyBorder="1" applyAlignment="1">
      <alignment horizontal="center" vertical="center" shrinkToFit="1"/>
    </xf>
    <xf numFmtId="0" fontId="11" fillId="5" borderId="34" xfId="0" applyNumberFormat="1" applyFont="1" applyFill="1" applyBorder="1" applyAlignment="1">
      <alignment horizontal="center" vertical="center" shrinkToFit="1"/>
    </xf>
    <xf numFmtId="0" fontId="11" fillId="5" borderId="14" xfId="0" applyNumberFormat="1" applyFont="1" applyFill="1" applyBorder="1" applyAlignment="1">
      <alignment horizontal="center" vertical="center" shrinkToFit="1"/>
    </xf>
    <xf numFmtId="0" fontId="11" fillId="5" borderId="35" xfId="0" applyNumberFormat="1" applyFont="1" applyFill="1" applyBorder="1" applyAlignment="1">
      <alignment horizontal="center" vertical="center" shrinkToFit="1"/>
    </xf>
    <xf numFmtId="0" fontId="11" fillId="0" borderId="34" xfId="0" applyNumberFormat="1" applyFont="1" applyFill="1" applyBorder="1" applyAlignment="1">
      <alignment horizontal="center" vertical="center" shrinkToFit="1"/>
    </xf>
    <xf numFmtId="0" fontId="11" fillId="0" borderId="15" xfId="0" applyNumberFormat="1" applyFont="1" applyFill="1" applyBorder="1" applyAlignment="1">
      <alignment horizontal="center" vertical="center" shrinkToFit="1"/>
    </xf>
    <xf numFmtId="0" fontId="51" fillId="0" borderId="10" xfId="0" applyNumberFormat="1" applyFont="1" applyFill="1" applyBorder="1" applyAlignment="1">
      <alignment horizontal="left" vertical="top" wrapText="1" shrinkToFit="1"/>
    </xf>
    <xf numFmtId="0" fontId="51" fillId="0" borderId="11" xfId="0" applyNumberFormat="1" applyFont="1" applyFill="1" applyBorder="1" applyAlignment="1">
      <alignment horizontal="left" vertical="top" wrapText="1" shrinkToFit="1"/>
    </xf>
    <xf numFmtId="0" fontId="51" fillId="0" borderId="12" xfId="0" applyNumberFormat="1" applyFont="1" applyFill="1" applyBorder="1" applyAlignment="1">
      <alignment horizontal="left" vertical="top" wrapText="1" shrinkToFit="1"/>
    </xf>
    <xf numFmtId="0" fontId="51" fillId="0" borderId="38" xfId="0" applyNumberFormat="1" applyFont="1" applyFill="1" applyBorder="1" applyAlignment="1">
      <alignment horizontal="left" vertical="top" wrapText="1" shrinkToFit="1"/>
    </xf>
    <xf numFmtId="0" fontId="51" fillId="0" borderId="0" xfId="0" applyNumberFormat="1" applyFont="1" applyFill="1" applyBorder="1" applyAlignment="1">
      <alignment horizontal="left" vertical="top" wrapText="1" shrinkToFit="1"/>
    </xf>
    <xf numFmtId="0" fontId="51" fillId="0" borderId="7" xfId="0" applyNumberFormat="1" applyFont="1" applyFill="1" applyBorder="1" applyAlignment="1">
      <alignment horizontal="left" vertical="top" wrapText="1" shrinkToFit="1"/>
    </xf>
    <xf numFmtId="0" fontId="51" fillId="0" borderId="32" xfId="0" applyNumberFormat="1" applyFont="1" applyFill="1" applyBorder="1" applyAlignment="1">
      <alignment horizontal="left" vertical="top" wrapText="1" shrinkToFit="1"/>
    </xf>
    <xf numFmtId="0" fontId="51" fillId="0" borderId="28" xfId="0" applyNumberFormat="1" applyFont="1" applyFill="1" applyBorder="1" applyAlignment="1">
      <alignment horizontal="left" vertical="top" wrapText="1" shrinkToFit="1"/>
    </xf>
    <xf numFmtId="0" fontId="51" fillId="0" borderId="33" xfId="0" applyNumberFormat="1" applyFont="1" applyFill="1" applyBorder="1" applyAlignment="1">
      <alignment horizontal="left" vertical="top" wrapText="1" shrinkToFit="1"/>
    </xf>
    <xf numFmtId="0" fontId="11" fillId="0" borderId="12" xfId="0" applyNumberFormat="1" applyFont="1" applyFill="1" applyBorder="1" applyAlignment="1">
      <alignment horizontal="center" vertical="center" shrinkToFit="1"/>
    </xf>
    <xf numFmtId="0" fontId="11" fillId="0" borderId="33" xfId="0" applyNumberFormat="1" applyFont="1" applyFill="1" applyBorder="1" applyAlignment="1">
      <alignment horizontal="center" vertical="center" shrinkToFit="1"/>
    </xf>
    <xf numFmtId="0" fontId="24" fillId="0" borderId="97" xfId="0" applyNumberFormat="1" applyFont="1" applyFill="1" applyBorder="1" applyAlignment="1">
      <alignment horizontal="center" vertical="center" wrapText="1" shrinkToFit="1"/>
    </xf>
    <xf numFmtId="49" fontId="4" fillId="0" borderId="60" xfId="0" applyNumberFormat="1" applyFont="1" applyFill="1" applyBorder="1" applyAlignment="1">
      <alignment horizontal="center" vertical="center" shrinkToFit="1"/>
    </xf>
    <xf numFmtId="49" fontId="4" fillId="0" borderId="61" xfId="0" applyNumberFormat="1" applyFont="1" applyFill="1" applyBorder="1" applyAlignment="1">
      <alignment horizontal="center" vertical="center" shrinkToFit="1"/>
    </xf>
    <xf numFmtId="49" fontId="4" fillId="0" borderId="72" xfId="0" applyNumberFormat="1" applyFont="1" applyFill="1" applyBorder="1" applyAlignment="1">
      <alignment horizontal="center" vertical="center" shrinkToFit="1"/>
    </xf>
    <xf numFmtId="49" fontId="4" fillId="0" borderId="121" xfId="0" applyNumberFormat="1" applyFont="1" applyFill="1" applyBorder="1" applyAlignment="1">
      <alignment horizontal="center" vertical="center" shrinkToFit="1"/>
    </xf>
    <xf numFmtId="49" fontId="4" fillId="0" borderId="122" xfId="0" applyNumberFormat="1" applyFont="1" applyFill="1" applyBorder="1" applyAlignment="1">
      <alignment horizontal="center" vertical="center" shrinkToFit="1"/>
    </xf>
    <xf numFmtId="49" fontId="4" fillId="0" borderId="123" xfId="0" applyNumberFormat="1" applyFont="1" applyFill="1" applyBorder="1" applyAlignment="1">
      <alignment horizontal="center" vertical="center" shrinkToFit="1"/>
    </xf>
    <xf numFmtId="0" fontId="16" fillId="0" borderId="2" xfId="0" applyNumberFormat="1" applyFont="1" applyFill="1" applyBorder="1" applyAlignment="1">
      <alignment horizontal="left" vertical="top" wrapText="1" shrinkToFit="1"/>
    </xf>
    <xf numFmtId="0" fontId="18" fillId="0" borderId="2" xfId="1" applyFont="1" applyBorder="1" applyAlignment="1">
      <alignment horizontal="center" vertical="center"/>
    </xf>
    <xf numFmtId="0" fontId="18" fillId="0" borderId="0" xfId="1" applyFont="1" applyBorder="1" applyAlignment="1">
      <alignment horizontal="center" vertical="center"/>
    </xf>
    <xf numFmtId="0" fontId="18" fillId="0" borderId="2" xfId="1" applyFont="1" applyBorder="1" applyAlignment="1">
      <alignment horizontal="right" vertical="center"/>
    </xf>
    <xf numFmtId="0" fontId="23" fillId="0" borderId="67" xfId="0" applyNumberFormat="1" applyFont="1" applyFill="1" applyBorder="1" applyAlignment="1">
      <alignment horizontal="center" vertical="center" shrinkToFit="1"/>
    </xf>
    <xf numFmtId="0" fontId="23" fillId="0" borderId="68" xfId="0" applyNumberFormat="1" applyFont="1" applyFill="1" applyBorder="1" applyAlignment="1">
      <alignment horizontal="center" vertical="center" shrinkToFit="1"/>
    </xf>
    <xf numFmtId="0" fontId="14" fillId="0" borderId="68" xfId="0" applyNumberFormat="1" applyFont="1" applyFill="1" applyBorder="1" applyAlignment="1">
      <alignment horizontal="center" vertical="center" wrapText="1" shrinkToFit="1"/>
    </xf>
    <xf numFmtId="0" fontId="24" fillId="0" borderId="149" xfId="0" applyNumberFormat="1" applyFont="1" applyFill="1" applyBorder="1" applyAlignment="1">
      <alignment horizontal="center" vertical="top" wrapText="1" shrinkToFit="1"/>
    </xf>
    <xf numFmtId="0" fontId="14" fillId="0" borderId="10" xfId="0" applyNumberFormat="1" applyFont="1" applyFill="1" applyBorder="1" applyAlignment="1">
      <alignment horizontal="center" vertical="center" wrapText="1" shrinkToFit="1"/>
    </xf>
    <xf numFmtId="0" fontId="14" fillId="0" borderId="11" xfId="0" applyNumberFormat="1" applyFont="1" applyFill="1" applyBorder="1" applyAlignment="1">
      <alignment horizontal="center" vertical="center" wrapText="1" shrinkToFit="1"/>
    </xf>
    <xf numFmtId="0" fontId="14" fillId="0" borderId="19" xfId="0" applyNumberFormat="1" applyFont="1" applyFill="1" applyBorder="1" applyAlignment="1">
      <alignment horizontal="center" vertical="center" wrapText="1" shrinkToFit="1"/>
    </xf>
    <xf numFmtId="0" fontId="14" fillId="0" borderId="38" xfId="0" applyNumberFormat="1" applyFont="1" applyFill="1" applyBorder="1" applyAlignment="1">
      <alignment horizontal="center" vertical="center" wrapText="1" shrinkToFit="1"/>
    </xf>
    <xf numFmtId="0" fontId="14" fillId="0" borderId="0" xfId="0" applyNumberFormat="1" applyFont="1" applyFill="1" applyBorder="1" applyAlignment="1">
      <alignment horizontal="center" vertical="center" wrapText="1" shrinkToFit="1"/>
    </xf>
    <xf numFmtId="0" fontId="14" fillId="0" borderId="27" xfId="0" applyNumberFormat="1" applyFont="1" applyFill="1" applyBorder="1" applyAlignment="1">
      <alignment horizontal="center" vertical="center" wrapText="1" shrinkToFit="1"/>
    </xf>
    <xf numFmtId="0" fontId="14" fillId="0" borderId="105" xfId="0" applyNumberFormat="1" applyFont="1" applyFill="1" applyBorder="1" applyAlignment="1">
      <alignment horizontal="center" vertical="center" wrapText="1" shrinkToFit="1"/>
    </xf>
    <xf numFmtId="0" fontId="14" fillId="0" borderId="37" xfId="0" applyNumberFormat="1" applyFont="1" applyFill="1" applyBorder="1" applyAlignment="1">
      <alignment horizontal="center" vertical="center" wrapText="1" shrinkToFit="1"/>
    </xf>
    <xf numFmtId="0" fontId="14" fillId="0" borderId="104" xfId="0" applyNumberFormat="1" applyFont="1" applyFill="1" applyBorder="1" applyAlignment="1">
      <alignment horizontal="center" vertical="center" wrapText="1" shrinkToFit="1"/>
    </xf>
    <xf numFmtId="0" fontId="23" fillId="0" borderId="65" xfId="0" applyNumberFormat="1" applyFont="1" applyFill="1" applyBorder="1" applyAlignment="1">
      <alignment horizontal="center" vertical="center" shrinkToFit="1"/>
    </xf>
    <xf numFmtId="0" fontId="23" fillId="0" borderId="66" xfId="0" applyNumberFormat="1" applyFont="1" applyFill="1" applyBorder="1" applyAlignment="1">
      <alignment horizontal="center" vertical="center" shrinkToFit="1"/>
    </xf>
    <xf numFmtId="0" fontId="14" fillId="0" borderId="66" xfId="0" applyNumberFormat="1" applyFont="1" applyFill="1" applyBorder="1" applyAlignment="1">
      <alignment horizontal="center" vertical="center" wrapText="1" shrinkToFit="1"/>
    </xf>
    <xf numFmtId="0" fontId="23" fillId="0" borderId="70" xfId="0" applyNumberFormat="1" applyFont="1" applyFill="1" applyBorder="1" applyAlignment="1">
      <alignment horizontal="center" vertical="center" shrinkToFit="1"/>
    </xf>
    <xf numFmtId="0" fontId="23" fillId="0" borderId="71" xfId="0" applyNumberFormat="1" applyFont="1" applyFill="1" applyBorder="1" applyAlignment="1">
      <alignment horizontal="center" vertical="center" shrinkToFit="1"/>
    </xf>
    <xf numFmtId="0" fontId="14" fillId="0" borderId="71" xfId="0" applyNumberFormat="1" applyFont="1" applyFill="1" applyBorder="1" applyAlignment="1">
      <alignment horizontal="center" vertical="center" wrapText="1" shrinkToFit="1"/>
    </xf>
    <xf numFmtId="0" fontId="24" fillId="0" borderId="143" xfId="0" applyNumberFormat="1" applyFont="1" applyFill="1" applyBorder="1" applyAlignment="1">
      <alignment horizontal="center" wrapText="1" shrinkToFit="1"/>
    </xf>
    <xf numFmtId="0" fontId="14" fillId="0" borderId="10" xfId="0" applyNumberFormat="1" applyFont="1" applyFill="1" applyBorder="1" applyAlignment="1">
      <alignment horizontal="center" vertical="top" wrapText="1" shrinkToFit="1"/>
    </xf>
    <xf numFmtId="0" fontId="14" fillId="0" borderId="11" xfId="0" applyNumberFormat="1" applyFont="1" applyFill="1" applyBorder="1" applyAlignment="1">
      <alignment horizontal="center" vertical="top" wrapText="1" shrinkToFit="1"/>
    </xf>
    <xf numFmtId="0" fontId="14" fillId="0" borderId="12" xfId="0" applyNumberFormat="1" applyFont="1" applyFill="1" applyBorder="1" applyAlignment="1">
      <alignment horizontal="center" vertical="top" wrapText="1" shrinkToFit="1"/>
    </xf>
    <xf numFmtId="0" fontId="14" fillId="0" borderId="38" xfId="0" applyNumberFormat="1" applyFont="1" applyFill="1" applyBorder="1" applyAlignment="1">
      <alignment horizontal="center" vertical="top" wrapText="1" shrinkToFit="1"/>
    </xf>
    <xf numFmtId="0" fontId="14" fillId="0" borderId="0" xfId="0" applyNumberFormat="1" applyFont="1" applyFill="1" applyBorder="1" applyAlignment="1">
      <alignment horizontal="center" vertical="top" wrapText="1" shrinkToFit="1"/>
    </xf>
    <xf numFmtId="0" fontId="14" fillId="0" borderId="7" xfId="0" applyNumberFormat="1" applyFont="1" applyFill="1" applyBorder="1" applyAlignment="1">
      <alignment horizontal="center" vertical="top" wrapText="1" shrinkToFit="1"/>
    </xf>
    <xf numFmtId="0" fontId="14" fillId="0" borderId="105" xfId="0" applyNumberFormat="1" applyFont="1" applyFill="1" applyBorder="1" applyAlignment="1">
      <alignment horizontal="center" vertical="top" wrapText="1" shrinkToFit="1"/>
    </xf>
    <xf numFmtId="0" fontId="14" fillId="0" borderId="37" xfId="0" applyNumberFormat="1" applyFont="1" applyFill="1" applyBorder="1" applyAlignment="1">
      <alignment horizontal="center" vertical="top" wrapText="1" shrinkToFit="1"/>
    </xf>
    <xf numFmtId="0" fontId="14" fillId="0" borderId="8" xfId="0" applyNumberFormat="1" applyFont="1" applyFill="1" applyBorder="1" applyAlignment="1">
      <alignment horizontal="center" vertical="top" wrapText="1" shrinkToFit="1"/>
    </xf>
    <xf numFmtId="0" fontId="24" fillId="0" borderId="38" xfId="0" applyNumberFormat="1" applyFont="1" applyFill="1" applyBorder="1" applyAlignment="1">
      <alignment horizontal="center" vertical="center" wrapText="1" shrinkToFit="1"/>
    </xf>
    <xf numFmtId="0" fontId="24" fillId="0" borderId="27" xfId="0" applyNumberFormat="1" applyFont="1" applyFill="1" applyBorder="1" applyAlignment="1">
      <alignment horizontal="center" vertical="center" wrapText="1" shrinkToFit="1"/>
    </xf>
    <xf numFmtId="0" fontId="11" fillId="0" borderId="55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11" fillId="0" borderId="7" xfId="0" applyNumberFormat="1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0" fontId="4" fillId="0" borderId="31" xfId="0" applyFont="1" applyFill="1" applyBorder="1" applyAlignment="1">
      <alignment horizontal="center" vertical="center" shrinkToFit="1"/>
    </xf>
    <xf numFmtId="0" fontId="11" fillId="5" borderId="10" xfId="0" applyFont="1" applyFill="1" applyBorder="1" applyAlignment="1">
      <alignment horizontal="center" vertical="center" wrapText="1" shrinkToFit="1"/>
    </xf>
    <xf numFmtId="0" fontId="11" fillId="5" borderId="19" xfId="0" applyFont="1" applyFill="1" applyBorder="1" applyAlignment="1">
      <alignment horizontal="center" vertical="center" wrapText="1" shrinkToFit="1"/>
    </xf>
    <xf numFmtId="0" fontId="11" fillId="5" borderId="38" xfId="0" applyFont="1" applyFill="1" applyBorder="1" applyAlignment="1">
      <alignment horizontal="center" vertical="center" wrapText="1" shrinkToFit="1"/>
    </xf>
    <xf numFmtId="0" fontId="11" fillId="5" borderId="27" xfId="0" applyFont="1" applyFill="1" applyBorder="1" applyAlignment="1">
      <alignment horizontal="center" vertical="center" wrapText="1" shrinkToFit="1"/>
    </xf>
    <xf numFmtId="0" fontId="11" fillId="5" borderId="32" xfId="0" applyFont="1" applyFill="1" applyBorder="1" applyAlignment="1">
      <alignment horizontal="center" vertical="center" wrapText="1" shrinkToFit="1"/>
    </xf>
    <xf numFmtId="0" fontId="11" fillId="5" borderId="29" xfId="0" applyFont="1" applyFill="1" applyBorder="1" applyAlignment="1">
      <alignment horizontal="center" vertical="center" wrapText="1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33" xfId="0" applyNumberFormat="1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49" fontId="4" fillId="0" borderId="20" xfId="0" applyNumberFormat="1" applyFont="1" applyFill="1" applyBorder="1" applyAlignment="1">
      <alignment horizontal="center" vertical="center" shrinkToFit="1"/>
    </xf>
    <xf numFmtId="49" fontId="4" fillId="0" borderId="21" xfId="0" applyNumberFormat="1" applyFont="1" applyFill="1" applyBorder="1" applyAlignment="1">
      <alignment horizontal="center" vertical="center" shrinkToFit="1"/>
    </xf>
    <xf numFmtId="0" fontId="4" fillId="0" borderId="7" xfId="0" applyNumberFormat="1" applyFont="1" applyFill="1" applyBorder="1" applyAlignment="1">
      <alignment horizontal="center" vertical="center" shrinkToFit="1"/>
    </xf>
    <xf numFmtId="0" fontId="4" fillId="0" borderId="36" xfId="0" applyNumberFormat="1" applyFont="1" applyFill="1" applyBorder="1" applyAlignment="1">
      <alignment horizontal="center" vertical="center" shrinkToFit="1"/>
    </xf>
    <xf numFmtId="0" fontId="4" fillId="0" borderId="8" xfId="0" applyNumberFormat="1" applyFont="1" applyFill="1" applyBorder="1" applyAlignment="1">
      <alignment horizontal="center" vertical="center" shrinkToFit="1"/>
    </xf>
    <xf numFmtId="49" fontId="4" fillId="0" borderId="137" xfId="0" applyNumberFormat="1" applyFont="1" applyFill="1" applyBorder="1" applyAlignment="1">
      <alignment horizontal="center" vertical="center" shrinkToFit="1"/>
    </xf>
    <xf numFmtId="49" fontId="4" fillId="0" borderId="49" xfId="0" applyNumberFormat="1" applyFont="1" applyFill="1" applyBorder="1" applyAlignment="1">
      <alignment horizontal="center" vertical="center" shrinkToFit="1"/>
    </xf>
    <xf numFmtId="49" fontId="4" fillId="0" borderId="32" xfId="0" applyNumberFormat="1" applyFont="1" applyFill="1" applyBorder="1" applyAlignment="1">
      <alignment horizontal="center" vertical="center" shrinkToFit="1"/>
    </xf>
    <xf numFmtId="0" fontId="4" fillId="0" borderId="34" xfId="0" applyNumberFormat="1" applyFont="1" applyFill="1" applyBorder="1" applyAlignment="1">
      <alignment horizontal="center" vertical="center" shrinkToFit="1"/>
    </xf>
    <xf numFmtId="0" fontId="4" fillId="0" borderId="14" xfId="0" applyNumberFormat="1" applyFont="1" applyFill="1" applyBorder="1" applyAlignment="1">
      <alignment horizontal="center" vertical="center" shrinkToFit="1"/>
    </xf>
    <xf numFmtId="0" fontId="4" fillId="0" borderId="35" xfId="0" applyNumberFormat="1" applyFont="1" applyFill="1" applyBorder="1" applyAlignment="1">
      <alignment horizontal="center" vertical="center" shrinkToFit="1"/>
    </xf>
    <xf numFmtId="0" fontId="11" fillId="5" borderId="13" xfId="0" applyNumberFormat="1" applyFont="1" applyFill="1" applyBorder="1" applyAlignment="1">
      <alignment horizontal="center" vertical="center" shrinkToFit="1"/>
    </xf>
    <xf numFmtId="0" fontId="4" fillId="0" borderId="51" xfId="0" applyNumberFormat="1" applyFont="1" applyFill="1" applyBorder="1" applyAlignment="1">
      <alignment horizontal="center" vertical="center" shrinkToFit="1"/>
    </xf>
    <xf numFmtId="0" fontId="9" fillId="0" borderId="32" xfId="0" applyNumberFormat="1" applyFont="1" applyBorder="1" applyAlignment="1">
      <alignment horizontal="center" vertical="center" shrinkToFit="1"/>
    </xf>
    <xf numFmtId="0" fontId="6" fillId="0" borderId="28" xfId="0" applyNumberFormat="1" applyFont="1" applyBorder="1" applyAlignment="1">
      <alignment horizontal="center" vertical="center" shrinkToFit="1"/>
    </xf>
    <xf numFmtId="0" fontId="6" fillId="0" borderId="33" xfId="0" applyNumberFormat="1" applyFont="1" applyBorder="1" applyAlignment="1">
      <alignment horizontal="center" vertical="center" shrinkToFit="1"/>
    </xf>
    <xf numFmtId="0" fontId="6" fillId="0" borderId="13" xfId="0" applyNumberFormat="1" applyFont="1" applyBorder="1" applyAlignment="1">
      <alignment horizontal="center" vertical="center" shrinkToFit="1"/>
    </xf>
    <xf numFmtId="0" fontId="6" fillId="0" borderId="15" xfId="0" applyNumberFormat="1" applyFont="1" applyBorder="1" applyAlignment="1">
      <alignment horizontal="center" vertical="center" shrinkToFit="1"/>
    </xf>
    <xf numFmtId="0" fontId="6" fillId="0" borderId="14" xfId="0" applyNumberFormat="1" applyFont="1" applyBorder="1" applyAlignment="1">
      <alignment horizontal="center" vertical="center" shrinkToFit="1"/>
    </xf>
    <xf numFmtId="0" fontId="6" fillId="0" borderId="35" xfId="0" applyNumberFormat="1" applyFont="1" applyBorder="1" applyAlignment="1">
      <alignment horizontal="center" vertical="center" shrinkToFit="1"/>
    </xf>
    <xf numFmtId="0" fontId="4" fillId="0" borderId="1" xfId="0" applyNumberFormat="1" applyFont="1" applyFill="1" applyBorder="1" applyAlignment="1">
      <alignment horizontal="center" vertical="center" shrinkToFit="1"/>
    </xf>
    <xf numFmtId="0" fontId="4" fillId="0" borderId="2" xfId="0" applyNumberFormat="1" applyFont="1" applyFill="1" applyBorder="1" applyAlignment="1">
      <alignment horizontal="center" vertical="center" shrinkToFit="1"/>
    </xf>
    <xf numFmtId="0" fontId="10" fillId="0" borderId="2" xfId="0" applyNumberFormat="1" applyFont="1" applyFill="1" applyBorder="1" applyAlignment="1">
      <alignment horizontal="center" vertical="center" shrinkToFit="1"/>
    </xf>
    <xf numFmtId="0" fontId="6" fillId="0" borderId="10" xfId="0" applyNumberFormat="1" applyFont="1" applyBorder="1" applyAlignment="1">
      <alignment horizontal="center" vertical="center" shrinkToFit="1"/>
    </xf>
    <xf numFmtId="0" fontId="6" fillId="0" borderId="11" xfId="0" applyNumberFormat="1" applyFont="1" applyBorder="1" applyAlignment="1">
      <alignment horizontal="center" vertical="center" shrinkToFit="1"/>
    </xf>
    <xf numFmtId="0" fontId="6" fillId="0" borderId="12" xfId="0" applyNumberFormat="1" applyFont="1" applyBorder="1" applyAlignment="1">
      <alignment horizontal="center" vertical="center" shrinkToFit="1"/>
    </xf>
    <xf numFmtId="0" fontId="11" fillId="5" borderId="26" xfId="0" applyNumberFormat="1" applyFont="1" applyFill="1" applyBorder="1" applyAlignment="1">
      <alignment horizontal="center" vertical="center" wrapText="1" shrinkToFit="1"/>
    </xf>
    <xf numFmtId="0" fontId="11" fillId="5" borderId="19" xfId="0" applyNumberFormat="1" applyFont="1" applyFill="1" applyBorder="1" applyAlignment="1">
      <alignment horizontal="center" vertical="center" wrapText="1" shrinkToFit="1"/>
    </xf>
    <xf numFmtId="0" fontId="11" fillId="5" borderId="6" xfId="0" applyNumberFormat="1" applyFont="1" applyFill="1" applyBorder="1" applyAlignment="1">
      <alignment horizontal="center" vertical="center" wrapText="1" shrinkToFit="1"/>
    </xf>
    <xf numFmtId="0" fontId="11" fillId="5" borderId="27" xfId="0" applyNumberFormat="1" applyFont="1" applyFill="1" applyBorder="1" applyAlignment="1">
      <alignment horizontal="center" vertical="center" wrapText="1" shrinkToFit="1"/>
    </xf>
    <xf numFmtId="0" fontId="11" fillId="5" borderId="54" xfId="0" applyNumberFormat="1" applyFont="1" applyFill="1" applyBorder="1" applyAlignment="1">
      <alignment horizontal="center" vertical="center" wrapText="1" shrinkToFit="1"/>
    </xf>
    <xf numFmtId="0" fontId="11" fillId="5" borderId="29" xfId="0" applyNumberFormat="1" applyFont="1" applyFill="1" applyBorder="1" applyAlignment="1">
      <alignment horizontal="center" vertical="center" wrapText="1" shrinkToFit="1"/>
    </xf>
    <xf numFmtId="0" fontId="4" fillId="0" borderId="50" xfId="0" applyNumberFormat="1" applyFont="1" applyFill="1" applyBorder="1" applyAlignment="1">
      <alignment horizontal="center" vertical="center" shrinkToFit="1"/>
    </xf>
    <xf numFmtId="0" fontId="12" fillId="0" borderId="9" xfId="0" applyNumberFormat="1" applyFont="1" applyBorder="1" applyAlignment="1">
      <alignment horizontal="center" vertical="center" shrinkToFit="1"/>
    </xf>
    <xf numFmtId="0" fontId="12" fillId="0" borderId="18" xfId="0" applyNumberFormat="1" applyFont="1" applyBorder="1" applyAlignment="1">
      <alignment horizontal="center" vertical="center" shrinkToFit="1"/>
    </xf>
    <xf numFmtId="0" fontId="4" fillId="0" borderId="3" xfId="0" applyNumberFormat="1" applyFont="1" applyFill="1" applyBorder="1" applyAlignment="1">
      <alignment horizontal="center" vertical="center" shrinkToFit="1"/>
    </xf>
    <xf numFmtId="0" fontId="11" fillId="0" borderId="52" xfId="0" applyNumberFormat="1" applyFont="1" applyFill="1" applyBorder="1" applyAlignment="1">
      <alignment horizontal="center" vertical="center" shrinkToFit="1"/>
    </xf>
    <xf numFmtId="0" fontId="0" fillId="0" borderId="44" xfId="0" applyBorder="1">
      <alignment vertical="center"/>
    </xf>
    <xf numFmtId="0" fontId="0" fillId="0" borderId="53" xfId="0" applyBorder="1">
      <alignment vertical="center"/>
    </xf>
    <xf numFmtId="0" fontId="0" fillId="0" borderId="52" xfId="0" applyBorder="1">
      <alignment vertical="center"/>
    </xf>
    <xf numFmtId="0" fontId="11" fillId="0" borderId="47" xfId="0" applyNumberFormat="1" applyFont="1" applyFill="1" applyBorder="1" applyAlignment="1">
      <alignment horizontal="center" vertical="center" wrapText="1" shrinkToFit="1"/>
    </xf>
    <xf numFmtId="0" fontId="11" fillId="0" borderId="48" xfId="0" applyNumberFormat="1" applyFont="1" applyFill="1" applyBorder="1" applyAlignment="1">
      <alignment horizontal="center" vertical="center" wrapText="1" shrinkToFit="1"/>
    </xf>
    <xf numFmtId="0" fontId="11" fillId="0" borderId="49" xfId="0" applyNumberFormat="1" applyFont="1" applyFill="1" applyBorder="1" applyAlignment="1">
      <alignment horizontal="center" vertical="center" wrapText="1" shrinkToFit="1"/>
    </xf>
    <xf numFmtId="0" fontId="4" fillId="0" borderId="4" xfId="0" applyFont="1" applyFill="1" applyBorder="1" applyAlignment="1">
      <alignment horizontal="center" vertical="center" wrapText="1" shrinkToFit="1"/>
    </xf>
    <xf numFmtId="0" fontId="4" fillId="0" borderId="5" xfId="0" applyFont="1" applyFill="1" applyBorder="1" applyAlignment="1">
      <alignment horizontal="center" vertical="center" wrapText="1" shrinkToFit="1"/>
    </xf>
    <xf numFmtId="0" fontId="4" fillId="0" borderId="32" xfId="0" applyFont="1" applyFill="1" applyBorder="1" applyAlignment="1">
      <alignment horizontal="center" vertical="center" wrapText="1" shrinkToFit="1"/>
    </xf>
    <xf numFmtId="0" fontId="4" fillId="0" borderId="29" xfId="0" applyFont="1" applyFill="1" applyBorder="1" applyAlignment="1">
      <alignment horizontal="center" vertical="center" wrapText="1" shrinkToFi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4" fillId="0" borderId="99" xfId="0" applyFont="1" applyFill="1" applyBorder="1" applyAlignment="1">
      <alignment horizontal="center" vertical="center" shrinkToFit="1"/>
    </xf>
    <xf numFmtId="0" fontId="4" fillId="0" borderId="100" xfId="0" applyFont="1" applyFill="1" applyBorder="1" applyAlignment="1">
      <alignment horizontal="center" vertical="center" shrinkToFit="1"/>
    </xf>
    <xf numFmtId="0" fontId="7" fillId="0" borderId="100" xfId="0" applyFont="1" applyFill="1" applyBorder="1" applyAlignment="1">
      <alignment horizontal="center" vertical="center" wrapText="1"/>
    </xf>
    <xf numFmtId="0" fontId="4" fillId="0" borderId="100" xfId="0" applyFont="1" applyFill="1" applyBorder="1" applyAlignment="1">
      <alignment horizontal="center" vertical="center" wrapText="1" shrinkToFit="1"/>
    </xf>
    <xf numFmtId="177" fontId="4" fillId="0" borderId="100" xfId="0" applyNumberFormat="1" applyFont="1" applyFill="1" applyBorder="1" applyAlignment="1">
      <alignment horizontal="center" vertical="center" shrinkToFit="1"/>
    </xf>
    <xf numFmtId="0" fontId="4" fillId="0" borderId="98" xfId="0" applyFont="1" applyFill="1" applyBorder="1" applyAlignment="1">
      <alignment horizontal="center" vertical="center" shrinkToFit="1"/>
    </xf>
    <xf numFmtId="0" fontId="4" fillId="0" borderId="97" xfId="0" applyFont="1" applyFill="1" applyBorder="1" applyAlignment="1">
      <alignment horizontal="center" vertical="center" shrinkToFit="1"/>
    </xf>
    <xf numFmtId="0" fontId="7" fillId="0" borderId="97" xfId="0" applyFont="1" applyFill="1" applyBorder="1" applyAlignment="1">
      <alignment horizontal="center" vertical="center" wrapText="1" shrinkToFit="1"/>
    </xf>
    <xf numFmtId="0" fontId="4" fillId="0" borderId="32" xfId="0" applyFont="1" applyFill="1" applyBorder="1" applyAlignment="1">
      <alignment horizontal="left" vertical="center" shrinkToFit="1"/>
    </xf>
    <xf numFmtId="0" fontId="4" fillId="0" borderId="28" xfId="0" applyFont="1" applyFill="1" applyBorder="1" applyAlignment="1">
      <alignment horizontal="left" vertical="center" shrinkToFit="1"/>
    </xf>
    <xf numFmtId="0" fontId="4" fillId="0" borderId="29" xfId="0" applyFont="1" applyFill="1" applyBorder="1" applyAlignment="1">
      <alignment horizontal="left" vertical="center" shrinkToFit="1"/>
    </xf>
    <xf numFmtId="0" fontId="2" fillId="0" borderId="1" xfId="0" applyFont="1" applyFill="1" applyBorder="1" applyAlignment="1">
      <alignment horizontal="center" vertical="center"/>
    </xf>
    <xf numFmtId="0" fontId="2" fillId="0" borderId="54" xfId="0" applyFont="1" applyFill="1" applyBorder="1" applyAlignment="1">
      <alignment horizontal="center" vertical="center"/>
    </xf>
    <xf numFmtId="0" fontId="54" fillId="0" borderId="4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0" fontId="54" fillId="0" borderId="5" xfId="0" applyFont="1" applyFill="1" applyBorder="1" applyAlignment="1">
      <alignment horizontal="center" vertical="center"/>
    </xf>
    <xf numFmtId="0" fontId="54" fillId="0" borderId="32" xfId="0" applyFont="1" applyFill="1" applyBorder="1" applyAlignment="1">
      <alignment horizontal="center" vertical="center"/>
    </xf>
    <xf numFmtId="0" fontId="54" fillId="0" borderId="28" xfId="0" applyFont="1" applyFill="1" applyBorder="1" applyAlignment="1">
      <alignment horizontal="center" vertical="center"/>
    </xf>
    <xf numFmtId="0" fontId="54" fillId="0" borderId="29" xfId="0" applyFont="1" applyFill="1" applyBorder="1" applyAlignment="1">
      <alignment horizontal="center" vertical="center"/>
    </xf>
    <xf numFmtId="0" fontId="50" fillId="9" borderId="4" xfId="0" applyFont="1" applyFill="1" applyBorder="1" applyAlignment="1">
      <alignment horizontal="center" vertical="center" wrapText="1"/>
    </xf>
    <xf numFmtId="0" fontId="50" fillId="9" borderId="5" xfId="0" applyFont="1" applyFill="1" applyBorder="1" applyAlignment="1">
      <alignment horizontal="center" vertical="center" wrapText="1"/>
    </xf>
    <xf numFmtId="0" fontId="50" fillId="9" borderId="32" xfId="0" applyFont="1" applyFill="1" applyBorder="1" applyAlignment="1">
      <alignment horizontal="center" vertical="center" wrapText="1"/>
    </xf>
    <xf numFmtId="0" fontId="50" fillId="9" borderId="29" xfId="0" applyFont="1" applyFill="1" applyBorder="1" applyAlignment="1">
      <alignment horizontal="center" vertical="center" wrapText="1"/>
    </xf>
    <xf numFmtId="0" fontId="4" fillId="0" borderId="102" xfId="0" applyFont="1" applyFill="1" applyBorder="1" applyAlignment="1">
      <alignment horizontal="center" vertical="center" shrinkToFit="1"/>
    </xf>
    <xf numFmtId="0" fontId="0" fillId="0" borderId="103" xfId="0" applyBorder="1">
      <alignment vertical="center"/>
    </xf>
    <xf numFmtId="0" fontId="4" fillId="0" borderId="103" xfId="0" applyFont="1" applyFill="1" applyBorder="1" applyAlignment="1">
      <alignment horizontal="center" vertical="center" shrinkToFit="1"/>
    </xf>
    <xf numFmtId="176" fontId="4" fillId="0" borderId="103" xfId="0" applyNumberFormat="1" applyFont="1" applyFill="1" applyBorder="1" applyAlignment="1">
      <alignment horizontal="center" vertical="center" shrinkToFit="1"/>
    </xf>
    <xf numFmtId="0" fontId="5" fillId="2" borderId="103" xfId="0" applyFont="1" applyFill="1" applyBorder="1" applyAlignment="1">
      <alignment horizontal="center" vertical="center"/>
    </xf>
    <xf numFmtId="0" fontId="5" fillId="2" borderId="103" xfId="0" applyFont="1" applyFill="1" applyBorder="1">
      <alignment vertical="center"/>
    </xf>
    <xf numFmtId="0" fontId="5" fillId="2" borderId="132" xfId="0" applyFont="1" applyFill="1" applyBorder="1">
      <alignment vertical="center"/>
    </xf>
    <xf numFmtId="0" fontId="4" fillId="0" borderId="10" xfId="0" applyFont="1" applyFill="1" applyBorder="1" applyAlignment="1">
      <alignment horizontal="center" vertical="center" wrapText="1" shrinkToFit="1"/>
    </xf>
    <xf numFmtId="0" fontId="4" fillId="0" borderId="105" xfId="0" applyFont="1" applyFill="1" applyBorder="1" applyAlignment="1">
      <alignment horizontal="center" vertical="center" wrapText="1" shrinkToFit="1"/>
    </xf>
    <xf numFmtId="0" fontId="4" fillId="0" borderId="104" xfId="0" applyFont="1" applyFill="1" applyBorder="1" applyAlignment="1">
      <alignment horizontal="center" vertical="center" wrapText="1" shrinkToFit="1"/>
    </xf>
    <xf numFmtId="0" fontId="20" fillId="0" borderId="11" xfId="0" applyFont="1" applyFill="1" applyBorder="1" applyAlignment="1">
      <alignment horizontal="center" vertical="center"/>
    </xf>
    <xf numFmtId="0" fontId="20" fillId="0" borderId="12" xfId="0" applyFont="1" applyFill="1" applyBorder="1" applyAlignment="1">
      <alignment horizontal="center" vertical="center"/>
    </xf>
    <xf numFmtId="0" fontId="20" fillId="0" borderId="37" xfId="0" applyFont="1" applyFill="1" applyBorder="1" applyAlignment="1">
      <alignment horizontal="center" vertical="center"/>
    </xf>
    <xf numFmtId="0" fontId="20" fillId="0" borderId="8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105" xfId="0" applyFont="1" applyFill="1" applyBorder="1" applyAlignment="1">
      <alignment horizontal="center" vertical="center"/>
    </xf>
    <xf numFmtId="0" fontId="6" fillId="0" borderId="32" xfId="0" applyNumberFormat="1" applyFont="1" applyBorder="1" applyAlignment="1">
      <alignment horizontal="center" vertical="center" shrinkToFit="1"/>
    </xf>
    <xf numFmtId="0" fontId="6" fillId="0" borderId="29" xfId="0" applyNumberFormat="1" applyFont="1" applyBorder="1" applyAlignment="1">
      <alignment horizontal="center" vertical="center" shrinkToFit="1"/>
    </xf>
    <xf numFmtId="0" fontId="11" fillId="5" borderId="26" xfId="0" applyFont="1" applyFill="1" applyBorder="1" applyAlignment="1">
      <alignment horizontal="center" vertical="center" wrapText="1" shrinkToFit="1"/>
    </xf>
    <xf numFmtId="0" fontId="11" fillId="5" borderId="6" xfId="0" applyFont="1" applyFill="1" applyBorder="1" applyAlignment="1">
      <alignment horizontal="center" vertical="center" wrapText="1" shrinkToFit="1"/>
    </xf>
    <xf numFmtId="0" fontId="11" fillId="5" borderId="54" xfId="0" applyFont="1" applyFill="1" applyBorder="1" applyAlignment="1">
      <alignment horizontal="center" vertical="center" wrapText="1" shrinkToFit="1"/>
    </xf>
    <xf numFmtId="49" fontId="4" fillId="0" borderId="108" xfId="0" applyNumberFormat="1" applyFont="1" applyFill="1" applyBorder="1" applyAlignment="1">
      <alignment horizontal="center" vertical="center" shrinkToFit="1"/>
    </xf>
    <xf numFmtId="49" fontId="4" fillId="0" borderId="19" xfId="0" applyNumberFormat="1" applyFont="1" applyFill="1" applyBorder="1" applyAlignment="1">
      <alignment horizontal="center" vertical="center" shrinkToFit="1"/>
    </xf>
    <xf numFmtId="49" fontId="4" fillId="0" borderId="110" xfId="0" applyNumberFormat="1" applyFont="1" applyFill="1" applyBorder="1" applyAlignment="1">
      <alignment horizontal="center" vertical="center" shrinkToFit="1"/>
    </xf>
    <xf numFmtId="0" fontId="8" fillId="2" borderId="34" xfId="0" applyNumberFormat="1" applyFont="1" applyFill="1" applyBorder="1" applyAlignment="1">
      <alignment horizontal="center" vertical="center" shrinkToFit="1"/>
    </xf>
    <xf numFmtId="0" fontId="8" fillId="2" borderId="14" xfId="0" applyNumberFormat="1" applyFont="1" applyFill="1" applyBorder="1" applyAlignment="1">
      <alignment horizontal="center" vertical="center" shrinkToFit="1"/>
    </xf>
    <xf numFmtId="10" fontId="8" fillId="2" borderId="34" xfId="0" applyNumberFormat="1" applyFont="1" applyFill="1" applyBorder="1" applyAlignment="1">
      <alignment horizontal="center" vertical="center" shrinkToFit="1"/>
    </xf>
    <xf numFmtId="10" fontId="8" fillId="2" borderId="14" xfId="0" applyNumberFormat="1" applyFont="1" applyFill="1" applyBorder="1" applyAlignment="1">
      <alignment horizontal="center" vertical="center" shrinkToFit="1"/>
    </xf>
    <xf numFmtId="49" fontId="11" fillId="0" borderId="14" xfId="0" applyNumberFormat="1" applyFont="1" applyFill="1" applyBorder="1" applyAlignment="1">
      <alignment horizontal="center" vertical="center" shrinkToFit="1"/>
    </xf>
    <xf numFmtId="49" fontId="11" fillId="0" borderId="34" xfId="0" applyNumberFormat="1" applyFont="1" applyFill="1" applyBorder="1" applyAlignment="1">
      <alignment horizontal="center" vertical="center" shrinkToFit="1"/>
    </xf>
    <xf numFmtId="49" fontId="11" fillId="0" borderId="35" xfId="0" applyNumberFormat="1" applyFont="1" applyFill="1" applyBorder="1" applyAlignment="1">
      <alignment horizontal="center" vertical="center" shrinkToFit="1"/>
    </xf>
    <xf numFmtId="10" fontId="11" fillId="0" borderId="34" xfId="0" applyNumberFormat="1" applyFont="1" applyFill="1" applyBorder="1" applyAlignment="1">
      <alignment horizontal="center" vertical="center" shrinkToFit="1"/>
    </xf>
    <xf numFmtId="10" fontId="11" fillId="0" borderId="14" xfId="0" applyNumberFormat="1" applyFont="1" applyFill="1" applyBorder="1" applyAlignment="1">
      <alignment horizontal="center" vertical="center" shrinkToFit="1"/>
    </xf>
    <xf numFmtId="49" fontId="4" fillId="0" borderId="106" xfId="0" applyNumberFormat="1" applyFont="1" applyFill="1" applyBorder="1" applyAlignment="1">
      <alignment horizontal="center" vertical="center" shrinkToFit="1"/>
    </xf>
    <xf numFmtId="49" fontId="4" fillId="0" borderId="15" xfId="0" applyNumberFormat="1" applyFont="1" applyFill="1" applyBorder="1" applyAlignment="1">
      <alignment horizontal="center" vertical="center" shrinkToFit="1"/>
    </xf>
    <xf numFmtId="49" fontId="22" fillId="3" borderId="95" xfId="0" applyNumberFormat="1" applyFont="1" applyFill="1" applyBorder="1" applyAlignment="1">
      <alignment horizontal="center" vertical="center" textRotation="255" shrinkToFit="1"/>
    </xf>
    <xf numFmtId="49" fontId="22" fillId="3" borderId="57" xfId="0" applyNumberFormat="1" applyFont="1" applyFill="1" applyBorder="1" applyAlignment="1">
      <alignment horizontal="center" vertical="center" textRotation="255" shrinkToFit="1"/>
    </xf>
    <xf numFmtId="49" fontId="22" fillId="3" borderId="77" xfId="0" applyNumberFormat="1" applyFont="1" applyFill="1" applyBorder="1" applyAlignment="1">
      <alignment horizontal="center" vertical="center" textRotation="255" shrinkToFit="1"/>
    </xf>
    <xf numFmtId="49" fontId="11" fillId="5" borderId="90" xfId="0" applyNumberFormat="1" applyFont="1" applyFill="1" applyBorder="1" applyAlignment="1">
      <alignment horizontal="center" vertical="top" textRotation="255" shrinkToFit="1"/>
    </xf>
    <xf numFmtId="49" fontId="11" fillId="5" borderId="91" xfId="0" applyNumberFormat="1" applyFont="1" applyFill="1" applyBorder="1" applyAlignment="1">
      <alignment horizontal="center" vertical="top" textRotation="255" shrinkToFit="1"/>
    </xf>
    <xf numFmtId="0" fontId="4" fillId="0" borderId="94" xfId="0" applyFont="1" applyFill="1" applyBorder="1" applyAlignment="1">
      <alignment horizontal="center" vertical="center" wrapText="1"/>
    </xf>
    <xf numFmtId="49" fontId="11" fillId="5" borderId="89" xfId="0" applyNumberFormat="1" applyFont="1" applyFill="1" applyBorder="1" applyAlignment="1">
      <alignment horizontal="center" vertical="center" shrinkToFit="1"/>
    </xf>
    <xf numFmtId="49" fontId="11" fillId="5" borderId="90" xfId="0" applyNumberFormat="1" applyFont="1" applyFill="1" applyBorder="1" applyAlignment="1">
      <alignment horizontal="center" vertical="center" shrinkToFit="1"/>
    </xf>
    <xf numFmtId="49" fontId="4" fillId="0" borderId="111" xfId="0" applyNumberFormat="1" applyFont="1" applyFill="1" applyBorder="1" applyAlignment="1">
      <alignment horizontal="center" vertical="center" wrapText="1" shrinkToFit="1"/>
    </xf>
    <xf numFmtId="49" fontId="4" fillId="0" borderId="27" xfId="0" applyNumberFormat="1" applyFont="1" applyFill="1" applyBorder="1" applyAlignment="1">
      <alignment horizontal="center" vertical="center" wrapText="1" shrinkToFit="1"/>
    </xf>
    <xf numFmtId="0" fontId="46" fillId="6" borderId="26" xfId="0" applyNumberFormat="1" applyFont="1" applyFill="1" applyBorder="1" applyAlignment="1">
      <alignment horizontal="center" vertical="center" shrinkToFit="1"/>
    </xf>
    <xf numFmtId="0" fontId="46" fillId="6" borderId="11" xfId="0" applyNumberFormat="1" applyFont="1" applyFill="1" applyBorder="1" applyAlignment="1">
      <alignment horizontal="center" vertical="center" shrinkToFit="1"/>
    </xf>
    <xf numFmtId="0" fontId="46" fillId="6" borderId="19" xfId="0" applyNumberFormat="1" applyFont="1" applyFill="1" applyBorder="1" applyAlignment="1">
      <alignment horizontal="center" vertical="center" shrinkToFit="1"/>
    </xf>
    <xf numFmtId="0" fontId="46" fillId="6" borderId="6" xfId="0" applyNumberFormat="1" applyFont="1" applyFill="1" applyBorder="1" applyAlignment="1">
      <alignment horizontal="center" vertical="center" shrinkToFit="1"/>
    </xf>
    <xf numFmtId="0" fontId="46" fillId="6" borderId="0" xfId="0" applyNumberFormat="1" applyFont="1" applyFill="1" applyBorder="1" applyAlignment="1">
      <alignment horizontal="center" vertical="center" shrinkToFit="1"/>
    </xf>
    <xf numFmtId="0" fontId="46" fillId="6" borderId="27" xfId="0" applyNumberFormat="1" applyFont="1" applyFill="1" applyBorder="1" applyAlignment="1">
      <alignment horizontal="center" vertical="center" shrinkToFit="1"/>
    </xf>
    <xf numFmtId="49" fontId="4" fillId="0" borderId="138" xfId="0" applyNumberFormat="1" applyFont="1" applyFill="1" applyBorder="1" applyAlignment="1">
      <alignment horizontal="center" vertical="center" shrinkToFit="1"/>
    </xf>
    <xf numFmtId="49" fontId="4" fillId="0" borderId="42" xfId="0" applyNumberFormat="1" applyFont="1" applyFill="1" applyBorder="1" applyAlignment="1">
      <alignment horizontal="center" vertical="center" shrinkToFit="1"/>
    </xf>
    <xf numFmtId="49" fontId="4" fillId="0" borderId="139" xfId="0" applyNumberFormat="1" applyFont="1" applyFill="1" applyBorder="1" applyAlignment="1">
      <alignment horizontal="center" vertical="center" shrinkToFit="1"/>
    </xf>
    <xf numFmtId="49" fontId="4" fillId="0" borderId="140" xfId="0" applyNumberFormat="1" applyFont="1" applyFill="1" applyBorder="1" applyAlignment="1">
      <alignment horizontal="center" vertical="center" shrinkToFit="1"/>
    </xf>
    <xf numFmtId="49" fontId="4" fillId="0" borderId="31" xfId="0" applyNumberFormat="1" applyFont="1" applyFill="1" applyBorder="1" applyAlignment="1">
      <alignment horizontal="center" vertical="center" shrinkToFit="1"/>
    </xf>
    <xf numFmtId="49" fontId="4" fillId="0" borderId="141" xfId="0" applyNumberFormat="1" applyFont="1" applyFill="1" applyBorder="1" applyAlignment="1">
      <alignment horizontal="center" vertical="center" shrinkToFit="1"/>
    </xf>
    <xf numFmtId="0" fontId="11" fillId="0" borderId="54" xfId="0" applyNumberFormat="1" applyFont="1" applyFill="1" applyBorder="1" applyAlignment="1">
      <alignment horizontal="center" vertical="center" shrinkToFit="1"/>
    </xf>
    <xf numFmtId="0" fontId="6" fillId="0" borderId="14" xfId="0" applyFont="1" applyFill="1" applyBorder="1" applyAlignment="1">
      <alignment vertical="center" shrinkToFit="1"/>
    </xf>
    <xf numFmtId="0" fontId="6" fillId="0" borderId="35" xfId="0" applyFont="1" applyFill="1" applyBorder="1" applyAlignment="1">
      <alignment vertical="center" shrinkToFit="1"/>
    </xf>
    <xf numFmtId="10" fontId="11" fillId="0" borderId="35" xfId="0" applyNumberFormat="1" applyFont="1" applyFill="1" applyBorder="1" applyAlignment="1">
      <alignment horizontal="center" vertical="center" shrinkToFit="1"/>
    </xf>
    <xf numFmtId="0" fontId="4" fillId="0" borderId="54" xfId="0" applyNumberFormat="1" applyFont="1" applyFill="1" applyBorder="1" applyAlignment="1">
      <alignment horizontal="center" vertical="center" shrinkToFit="1"/>
    </xf>
    <xf numFmtId="0" fontId="4" fillId="0" borderId="28" xfId="0" applyNumberFormat="1" applyFont="1" applyFill="1" applyBorder="1" applyAlignment="1">
      <alignment horizontal="center" vertical="center" shrinkToFit="1"/>
    </xf>
    <xf numFmtId="0" fontId="6" fillId="0" borderId="34" xfId="3" applyFont="1" applyBorder="1" applyAlignment="1">
      <alignment horizontal="center" vertical="center"/>
    </xf>
    <xf numFmtId="0" fontId="6" fillId="0" borderId="14" xfId="3" applyFont="1" applyBorder="1" applyAlignment="1">
      <alignment horizontal="center" vertical="center"/>
    </xf>
    <xf numFmtId="0" fontId="6" fillId="0" borderId="154" xfId="3" applyFont="1" applyBorder="1" applyAlignment="1">
      <alignment horizontal="center" vertical="center" shrinkToFit="1"/>
    </xf>
    <xf numFmtId="0" fontId="6" fillId="0" borderId="93" xfId="3" applyFont="1" applyBorder="1" applyAlignment="1">
      <alignment horizontal="center" vertical="center" shrinkToFit="1"/>
    </xf>
    <xf numFmtId="0" fontId="6" fillId="0" borderId="59" xfId="3" applyFon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6" fillId="0" borderId="99" xfId="3" applyFont="1" applyBorder="1" applyAlignment="1">
      <alignment horizontal="center" vertical="center"/>
    </xf>
    <xf numFmtId="0" fontId="6" fillId="0" borderId="100" xfId="3" applyFont="1" applyBorder="1" applyAlignment="1">
      <alignment horizontal="center" vertical="center"/>
    </xf>
    <xf numFmtId="0" fontId="6" fillId="0" borderId="100" xfId="3" applyFont="1" applyBorder="1" applyAlignment="1">
      <alignment horizontal="center" vertical="center" shrinkToFit="1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6" fillId="0" borderId="22" xfId="3" applyFont="1" applyBorder="1" applyAlignment="1">
      <alignment horizontal="center" vertical="center"/>
    </xf>
    <xf numFmtId="0" fontId="6" fillId="0" borderId="24" xfId="3" applyFont="1" applyBorder="1" applyAlignment="1">
      <alignment horizontal="center" vertical="center"/>
    </xf>
    <xf numFmtId="0" fontId="6" fillId="0" borderId="129" xfId="3" applyFont="1" applyBorder="1" applyAlignment="1">
      <alignment horizontal="center" vertical="center" shrinkToFit="1"/>
    </xf>
    <xf numFmtId="0" fontId="6" fillId="0" borderId="130" xfId="3" applyFont="1" applyBorder="1" applyAlignment="1">
      <alignment horizontal="center" vertical="center" shrinkToFit="1"/>
    </xf>
    <xf numFmtId="0" fontId="6" fillId="0" borderId="155" xfId="3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 wrapText="1" shrinkToFit="1"/>
    </xf>
    <xf numFmtId="0" fontId="4" fillId="0" borderId="27" xfId="0" applyFont="1" applyFill="1" applyBorder="1" applyAlignment="1">
      <alignment horizontal="center"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176" fontId="4" fillId="0" borderId="97" xfId="0" applyNumberFormat="1" applyFont="1" applyFill="1" applyBorder="1" applyAlignment="1">
      <alignment horizontal="center" vertical="center" shrinkToFit="1"/>
    </xf>
    <xf numFmtId="0" fontId="0" fillId="0" borderId="97" xfId="0" applyBorder="1">
      <alignment vertical="center"/>
    </xf>
    <xf numFmtId="0" fontId="5" fillId="2" borderId="97" xfId="0" applyFont="1" applyFill="1" applyBorder="1" applyAlignment="1">
      <alignment horizontal="center" vertical="center"/>
    </xf>
    <xf numFmtId="0" fontId="5" fillId="2" borderId="97" xfId="0" applyFont="1" applyFill="1" applyBorder="1">
      <alignment vertical="center"/>
    </xf>
    <xf numFmtId="0" fontId="5" fillId="2" borderId="88" xfId="0" applyFont="1" applyFill="1" applyBorder="1">
      <alignment vertical="center"/>
    </xf>
    <xf numFmtId="0" fontId="11" fillId="0" borderId="4" xfId="0" applyNumberFormat="1" applyFont="1" applyFill="1" applyBorder="1" applyAlignment="1">
      <alignment horizontal="center" vertical="center" wrapText="1" shrinkToFit="1"/>
    </xf>
    <xf numFmtId="0" fontId="11" fillId="0" borderId="2" xfId="0" applyNumberFormat="1" applyFont="1" applyFill="1" applyBorder="1" applyAlignment="1">
      <alignment horizontal="center" vertical="center" wrapText="1" shrinkToFit="1"/>
    </xf>
    <xf numFmtId="0" fontId="11" fillId="0" borderId="3" xfId="0" applyNumberFormat="1" applyFont="1" applyFill="1" applyBorder="1" applyAlignment="1">
      <alignment horizontal="center" vertical="center" wrapText="1" shrinkToFit="1"/>
    </xf>
    <xf numFmtId="0" fontId="4" fillId="0" borderId="5" xfId="0" applyNumberFormat="1" applyFont="1" applyFill="1" applyBorder="1" applyAlignment="1">
      <alignment horizontal="center" vertical="center" shrinkToFit="1"/>
    </xf>
    <xf numFmtId="179" fontId="11" fillId="0" borderId="14" xfId="0" applyNumberFormat="1" applyFont="1" applyFill="1" applyBorder="1" applyAlignment="1">
      <alignment horizontal="center" vertical="center" shrinkToFit="1"/>
    </xf>
    <xf numFmtId="179" fontId="11" fillId="0" borderId="34" xfId="0" applyNumberFormat="1" applyFont="1" applyFill="1" applyBorder="1" applyAlignment="1">
      <alignment horizontal="center" vertical="center" shrinkToFit="1"/>
    </xf>
    <xf numFmtId="179" fontId="11" fillId="0" borderId="35" xfId="0" applyNumberFormat="1" applyFont="1" applyFill="1" applyBorder="1" applyAlignment="1">
      <alignment horizontal="center" vertical="center" shrinkToFit="1"/>
    </xf>
    <xf numFmtId="0" fontId="4" fillId="0" borderId="34" xfId="0" applyNumberFormat="1" applyFont="1" applyFill="1" applyBorder="1" applyAlignment="1">
      <alignment horizontal="center" vertical="center" wrapText="1" shrinkToFit="1"/>
    </xf>
    <xf numFmtId="0" fontId="4" fillId="0" borderId="14" xfId="0" applyNumberFormat="1" applyFont="1" applyFill="1" applyBorder="1" applyAlignment="1">
      <alignment horizontal="center" vertical="center" wrapText="1" shrinkToFit="1"/>
    </xf>
    <xf numFmtId="0" fontId="4" fillId="0" borderId="13" xfId="0" applyNumberFormat="1" applyFont="1" applyFill="1" applyBorder="1" applyAlignment="1">
      <alignment horizontal="center" vertical="center" wrapText="1" shrinkToFit="1"/>
    </xf>
    <xf numFmtId="0" fontId="25" fillId="0" borderId="59" xfId="0" applyNumberFormat="1" applyFont="1" applyFill="1" applyBorder="1" applyAlignment="1">
      <alignment horizontal="center" vertical="center" wrapText="1" shrinkToFit="1"/>
    </xf>
    <xf numFmtId="0" fontId="25" fillId="0" borderId="14" xfId="0" applyNumberFormat="1" applyFont="1" applyFill="1" applyBorder="1" applyAlignment="1">
      <alignment horizontal="center" vertical="center" wrapText="1" shrinkToFit="1"/>
    </xf>
    <xf numFmtId="49" fontId="4" fillId="0" borderId="92" xfId="0" applyNumberFormat="1" applyFont="1" applyFill="1" applyBorder="1" applyAlignment="1">
      <alignment horizontal="center" vertical="center" shrinkToFit="1"/>
    </xf>
    <xf numFmtId="49" fontId="4" fillId="0" borderId="93" xfId="0" applyNumberFormat="1" applyFont="1" applyFill="1" applyBorder="1" applyAlignment="1">
      <alignment horizontal="center" vertical="center" shrinkToFit="1"/>
    </xf>
    <xf numFmtId="0" fontId="11" fillId="5" borderId="0" xfId="0" applyNumberFormat="1" applyFont="1" applyFill="1" applyBorder="1" applyAlignment="1">
      <alignment horizontal="center" vertical="center" wrapText="1" shrinkToFit="1"/>
    </xf>
    <xf numFmtId="0" fontId="11" fillId="5" borderId="28" xfId="0" applyNumberFormat="1" applyFont="1" applyFill="1" applyBorder="1" applyAlignment="1">
      <alignment horizontal="center" vertical="center" wrapText="1" shrinkToFit="1"/>
    </xf>
    <xf numFmtId="49" fontId="21" fillId="3" borderId="0" xfId="0" applyNumberFormat="1" applyFont="1" applyFill="1" applyBorder="1" applyAlignment="1">
      <alignment horizontal="center" vertical="center" wrapText="1" shrinkToFit="1"/>
    </xf>
    <xf numFmtId="49" fontId="21" fillId="3" borderId="28" xfId="0" applyNumberFormat="1" applyFont="1" applyFill="1" applyBorder="1" applyAlignment="1">
      <alignment horizontal="center" vertical="center" wrapText="1" shrinkToFit="1"/>
    </xf>
    <xf numFmtId="0" fontId="4" fillId="0" borderId="32" xfId="0" applyNumberFormat="1" applyFont="1" applyFill="1" applyBorder="1" applyAlignment="1">
      <alignment horizontal="center" vertical="center" shrinkToFit="1"/>
    </xf>
    <xf numFmtId="0" fontId="4" fillId="0" borderId="56" xfId="0" applyNumberFormat="1" applyFont="1" applyFill="1" applyBorder="1" applyAlignment="1">
      <alignment horizontal="center" vertical="center" shrinkToFit="1"/>
    </xf>
    <xf numFmtId="0" fontId="7" fillId="0" borderId="125" xfId="0" applyNumberFormat="1" applyFont="1" applyFill="1" applyBorder="1" applyAlignment="1">
      <alignment horizontal="center" vertical="center" wrapText="1" shrinkToFit="1"/>
    </xf>
    <xf numFmtId="49" fontId="6" fillId="0" borderId="120" xfId="0" applyNumberFormat="1" applyFont="1" applyBorder="1" applyAlignment="1">
      <alignment horizontal="center" vertical="center" shrinkToFit="1"/>
    </xf>
    <xf numFmtId="49" fontId="6" fillId="0" borderId="31" xfId="0" applyNumberFormat="1" applyFont="1" applyBorder="1" applyAlignment="1">
      <alignment horizontal="center" vertical="center" shrinkToFit="1"/>
    </xf>
    <xf numFmtId="49" fontId="6" fillId="0" borderId="112" xfId="0" applyNumberFormat="1" applyFont="1" applyBorder="1" applyAlignment="1">
      <alignment horizontal="center" vertical="center" shrinkToFit="1"/>
    </xf>
    <xf numFmtId="49" fontId="4" fillId="0" borderId="13" xfId="0" applyNumberFormat="1" applyFont="1" applyFill="1" applyBorder="1" applyAlignment="1">
      <alignment horizontal="center" vertical="center" shrinkToFit="1"/>
    </xf>
    <xf numFmtId="49" fontId="4" fillId="0" borderId="94" xfId="0" applyNumberFormat="1" applyFont="1" applyFill="1" applyBorder="1" applyAlignment="1">
      <alignment horizontal="center" vertical="center" shrinkToFit="1"/>
    </xf>
    <xf numFmtId="49" fontId="4" fillId="0" borderId="30" xfId="0" applyNumberFormat="1" applyFont="1" applyFill="1" applyBorder="1" applyAlignment="1">
      <alignment horizontal="center" vertical="center" shrinkToFit="1"/>
    </xf>
    <xf numFmtId="49" fontId="4" fillId="0" borderId="112" xfId="0" applyNumberFormat="1" applyFont="1" applyFill="1" applyBorder="1" applyAlignment="1">
      <alignment horizontal="center" vertical="center" shrinkToFit="1"/>
    </xf>
    <xf numFmtId="49" fontId="4" fillId="0" borderId="41" xfId="0" applyNumberFormat="1" applyFont="1" applyFill="1" applyBorder="1" applyAlignment="1">
      <alignment horizontal="center" vertical="center" shrinkToFit="1"/>
    </xf>
    <xf numFmtId="49" fontId="4" fillId="0" borderId="113" xfId="0" applyNumberFormat="1" applyFont="1" applyFill="1" applyBorder="1" applyAlignment="1">
      <alignment horizontal="center" vertical="center" shrinkToFit="1"/>
    </xf>
    <xf numFmtId="49" fontId="4" fillId="0" borderId="64" xfId="0" applyNumberFormat="1" applyFont="1" applyFill="1" applyBorder="1" applyAlignment="1">
      <alignment horizontal="center" vertical="center" shrinkToFit="1"/>
    </xf>
    <xf numFmtId="49" fontId="4" fillId="0" borderId="114" xfId="0" applyNumberFormat="1" applyFont="1" applyFill="1" applyBorder="1" applyAlignment="1">
      <alignment horizontal="center" vertical="center" shrinkToFit="1"/>
    </xf>
    <xf numFmtId="0" fontId="11" fillId="8" borderId="26" xfId="0" applyNumberFormat="1" applyFont="1" applyFill="1" applyBorder="1" applyAlignment="1">
      <alignment horizontal="center" vertical="center" shrinkToFit="1"/>
    </xf>
    <xf numFmtId="0" fontId="11" fillId="8" borderId="11" xfId="0" applyNumberFormat="1" applyFont="1" applyFill="1" applyBorder="1" applyAlignment="1">
      <alignment horizontal="center" vertical="center" shrinkToFit="1"/>
    </xf>
    <xf numFmtId="0" fontId="11" fillId="8" borderId="54" xfId="0" applyNumberFormat="1" applyFont="1" applyFill="1" applyBorder="1" applyAlignment="1">
      <alignment horizontal="center" vertical="center" shrinkToFit="1"/>
    </xf>
    <xf numFmtId="0" fontId="11" fillId="8" borderId="28" xfId="0" applyNumberFormat="1" applyFont="1" applyFill="1" applyBorder="1" applyAlignment="1">
      <alignment horizontal="center" vertical="center" shrinkToFit="1"/>
    </xf>
    <xf numFmtId="49" fontId="6" fillId="0" borderId="10" xfId="0" applyNumberFormat="1" applyFont="1" applyFill="1" applyBorder="1" applyAlignment="1">
      <alignment horizontal="center" vertical="center" shrinkToFit="1"/>
    </xf>
    <xf numFmtId="49" fontId="6" fillId="0" borderId="11" xfId="0" applyNumberFormat="1" applyFont="1" applyFill="1" applyBorder="1" applyAlignment="1">
      <alignment horizontal="center" vertical="center" shrinkToFit="1"/>
    </xf>
    <xf numFmtId="49" fontId="6" fillId="0" borderId="69" xfId="0" applyNumberFormat="1" applyFont="1" applyFill="1" applyBorder="1" applyAlignment="1">
      <alignment horizontal="center" vertical="center" shrinkToFit="1"/>
    </xf>
    <xf numFmtId="49" fontId="4" fillId="0" borderId="43" xfId="0" applyNumberFormat="1" applyFont="1" applyFill="1" applyBorder="1" applyAlignment="1">
      <alignment horizontal="center" vertical="center" shrinkToFit="1"/>
    </xf>
    <xf numFmtId="49" fontId="4" fillId="0" borderId="32" xfId="0" applyNumberFormat="1" applyFont="1" applyFill="1" applyBorder="1" applyAlignment="1">
      <alignment horizontal="center" vertical="top" shrinkToFit="1"/>
    </xf>
    <xf numFmtId="49" fontId="4" fillId="0" borderId="28" xfId="0" applyNumberFormat="1" applyFont="1" applyFill="1" applyBorder="1" applyAlignment="1">
      <alignment horizontal="center" vertical="top" shrinkToFit="1"/>
    </xf>
    <xf numFmtId="49" fontId="4" fillId="0" borderId="56" xfId="0" applyNumberFormat="1" applyFont="1" applyFill="1" applyBorder="1" applyAlignment="1">
      <alignment horizontal="center" vertical="top" shrinkToFit="1"/>
    </xf>
    <xf numFmtId="0" fontId="7" fillId="0" borderId="26" xfId="0" applyNumberFormat="1" applyFont="1" applyFill="1" applyBorder="1" applyAlignment="1">
      <alignment horizontal="center" vertical="center" wrapText="1" shrinkToFit="1"/>
    </xf>
    <xf numFmtId="0" fontId="7" fillId="0" borderId="11" xfId="0" applyNumberFormat="1" applyFont="1" applyFill="1" applyBorder="1" applyAlignment="1">
      <alignment horizontal="center" vertical="center" wrapText="1" shrinkToFit="1"/>
    </xf>
    <xf numFmtId="0" fontId="7" fillId="0" borderId="54" xfId="0" applyNumberFormat="1" applyFont="1" applyFill="1" applyBorder="1" applyAlignment="1">
      <alignment horizontal="center" vertical="center" wrapText="1" shrinkToFit="1"/>
    </xf>
    <xf numFmtId="0" fontId="7" fillId="0" borderId="28" xfId="0" applyNumberFormat="1" applyFont="1" applyFill="1" applyBorder="1" applyAlignment="1">
      <alignment horizontal="center" vertical="center" wrapText="1" shrinkToFit="1"/>
    </xf>
    <xf numFmtId="0" fontId="7" fillId="0" borderId="121" xfId="0" applyNumberFormat="1" applyFont="1" applyFill="1" applyBorder="1" applyAlignment="1">
      <alignment horizontal="center" vertical="center" wrapText="1" shrinkToFit="1"/>
    </xf>
    <xf numFmtId="0" fontId="7" fillId="0" borderId="122" xfId="0" applyNumberFormat="1" applyFont="1" applyFill="1" applyBorder="1" applyAlignment="1">
      <alignment horizontal="center" vertical="center" wrapText="1" shrinkToFit="1"/>
    </xf>
    <xf numFmtId="49" fontId="35" fillId="9" borderId="122" xfId="0" applyNumberFormat="1" applyFont="1" applyFill="1" applyBorder="1" applyAlignment="1">
      <alignment horizontal="center" vertical="center" shrinkToFit="1"/>
    </xf>
    <xf numFmtId="49" fontId="35" fillId="9" borderId="123" xfId="0" applyNumberFormat="1" applyFont="1" applyFill="1" applyBorder="1" applyAlignment="1">
      <alignment horizontal="center" vertical="center" shrinkToFit="1"/>
    </xf>
    <xf numFmtId="0" fontId="7" fillId="0" borderId="124" xfId="0" applyNumberFormat="1" applyFont="1" applyFill="1" applyBorder="1" applyAlignment="1">
      <alignment horizontal="center" vertical="center" wrapText="1" shrinkToFit="1"/>
    </xf>
    <xf numFmtId="49" fontId="4" fillId="0" borderId="115" xfId="0" applyNumberFormat="1" applyFont="1" applyFill="1" applyBorder="1" applyAlignment="1">
      <alignment horizontal="center" vertical="center" shrinkToFit="1"/>
    </xf>
    <xf numFmtId="49" fontId="4" fillId="0" borderId="12" xfId="0" applyNumberFormat="1" applyFont="1" applyFill="1" applyBorder="1" applyAlignment="1">
      <alignment horizontal="center" vertical="center" shrinkToFit="1"/>
    </xf>
    <xf numFmtId="0" fontId="11" fillId="5" borderId="98" xfId="0" applyNumberFormat="1" applyFont="1" applyFill="1" applyBorder="1" applyAlignment="1">
      <alignment horizontal="center" vertical="center" shrinkToFit="1"/>
    </xf>
    <xf numFmtId="0" fontId="11" fillId="5" borderId="97" xfId="0" applyNumberFormat="1" applyFont="1" applyFill="1" applyBorder="1" applyAlignment="1">
      <alignment horizontal="center" vertical="center" shrinkToFit="1"/>
    </xf>
    <xf numFmtId="49" fontId="11" fillId="0" borderId="26" xfId="0" applyNumberFormat="1" applyFont="1" applyFill="1" applyBorder="1" applyAlignment="1">
      <alignment horizontal="left" vertical="center" wrapText="1" shrinkToFit="1"/>
    </xf>
    <xf numFmtId="49" fontId="11" fillId="0" borderId="11" xfId="0" applyNumberFormat="1" applyFont="1" applyFill="1" applyBorder="1" applyAlignment="1">
      <alignment horizontal="left" vertical="center" wrapText="1" shrinkToFit="1"/>
    </xf>
    <xf numFmtId="49" fontId="11" fillId="0" borderId="19" xfId="0" applyNumberFormat="1" applyFont="1" applyFill="1" applyBorder="1" applyAlignment="1">
      <alignment horizontal="left" vertical="center" wrapText="1" shrinkToFit="1"/>
    </xf>
    <xf numFmtId="49" fontId="11" fillId="0" borderId="6" xfId="0" applyNumberFormat="1" applyFont="1" applyFill="1" applyBorder="1" applyAlignment="1">
      <alignment horizontal="left" vertical="center" wrapText="1" shrinkToFit="1"/>
    </xf>
    <xf numFmtId="49" fontId="11" fillId="0" borderId="0" xfId="0" applyNumberFormat="1" applyFont="1" applyFill="1" applyBorder="1" applyAlignment="1">
      <alignment horizontal="left" vertical="center" wrapText="1" shrinkToFit="1"/>
    </xf>
    <xf numFmtId="49" fontId="11" fillId="0" borderId="27" xfId="0" applyNumberFormat="1" applyFont="1" applyFill="1" applyBorder="1" applyAlignment="1">
      <alignment horizontal="left" vertical="center" wrapText="1" shrinkToFit="1"/>
    </xf>
    <xf numFmtId="49" fontId="11" fillId="0" borderId="54" xfId="0" applyNumberFormat="1" applyFont="1" applyFill="1" applyBorder="1" applyAlignment="1">
      <alignment horizontal="left" vertical="center" wrapText="1" shrinkToFit="1"/>
    </xf>
    <xf numFmtId="49" fontId="11" fillId="0" borderId="28" xfId="0" applyNumberFormat="1" applyFont="1" applyFill="1" applyBorder="1" applyAlignment="1">
      <alignment horizontal="left" vertical="center" wrapText="1" shrinkToFit="1"/>
    </xf>
    <xf numFmtId="49" fontId="11" fillId="0" borderId="29" xfId="0" applyNumberFormat="1" applyFont="1" applyFill="1" applyBorder="1" applyAlignment="1">
      <alignment horizontal="left" vertical="center" wrapText="1" shrinkToFit="1"/>
    </xf>
    <xf numFmtId="0" fontId="27" fillId="6" borderId="11" xfId="0" applyNumberFormat="1" applyFont="1" applyFill="1" applyBorder="1" applyAlignment="1">
      <alignment horizontal="center" vertical="center" shrinkToFit="1"/>
    </xf>
    <xf numFmtId="0" fontId="27" fillId="6" borderId="12" xfId="0" applyNumberFormat="1" applyFont="1" applyFill="1" applyBorder="1" applyAlignment="1">
      <alignment horizontal="center" vertical="center" shrinkToFit="1"/>
    </xf>
    <xf numFmtId="0" fontId="27" fillId="6" borderId="32" xfId="0" applyNumberFormat="1" applyFont="1" applyFill="1" applyBorder="1" applyAlignment="1">
      <alignment horizontal="center" vertical="center" shrinkToFit="1"/>
    </xf>
    <xf numFmtId="0" fontId="27" fillId="6" borderId="28" xfId="0" applyNumberFormat="1" applyFont="1" applyFill="1" applyBorder="1" applyAlignment="1">
      <alignment horizontal="center" vertical="center" shrinkToFit="1"/>
    </xf>
    <xf numFmtId="0" fontId="27" fillId="6" borderId="33" xfId="0" applyNumberFormat="1" applyFont="1" applyFill="1" applyBorder="1" applyAlignment="1">
      <alignment horizontal="center" vertical="center" shrinkToFit="1"/>
    </xf>
    <xf numFmtId="0" fontId="34" fillId="0" borderId="10" xfId="0" applyNumberFormat="1" applyFont="1" applyFill="1" applyBorder="1" applyAlignment="1">
      <alignment horizontal="center" vertical="top" wrapText="1" shrinkToFit="1"/>
    </xf>
    <xf numFmtId="0" fontId="34" fillId="0" borderId="11" xfId="0" applyNumberFormat="1" applyFont="1" applyFill="1" applyBorder="1" applyAlignment="1">
      <alignment horizontal="center" vertical="top" wrapText="1" shrinkToFit="1"/>
    </xf>
    <xf numFmtId="0" fontId="34" fillId="0" borderId="12" xfId="0" applyNumberFormat="1" applyFont="1" applyFill="1" applyBorder="1" applyAlignment="1">
      <alignment horizontal="center" vertical="top" wrapText="1" shrinkToFit="1"/>
    </xf>
    <xf numFmtId="0" fontId="34" fillId="0" borderId="38" xfId="0" applyNumberFormat="1" applyFont="1" applyFill="1" applyBorder="1" applyAlignment="1">
      <alignment horizontal="center" vertical="top" wrapText="1" shrinkToFit="1"/>
    </xf>
    <xf numFmtId="0" fontId="34" fillId="0" borderId="0" xfId="0" applyNumberFormat="1" applyFont="1" applyFill="1" applyBorder="1" applyAlignment="1">
      <alignment horizontal="center" vertical="top" wrapText="1" shrinkToFit="1"/>
    </xf>
    <xf numFmtId="0" fontId="34" fillId="0" borderId="7" xfId="0" applyNumberFormat="1" applyFont="1" applyFill="1" applyBorder="1" applyAlignment="1">
      <alignment horizontal="center" vertical="top" wrapText="1" shrinkToFit="1"/>
    </xf>
    <xf numFmtId="0" fontId="34" fillId="0" borderId="32" xfId="0" applyNumberFormat="1" applyFont="1" applyFill="1" applyBorder="1" applyAlignment="1">
      <alignment horizontal="center" vertical="top" wrapText="1" shrinkToFit="1"/>
    </xf>
    <xf numFmtId="0" fontId="34" fillId="0" borderId="28" xfId="0" applyNumberFormat="1" applyFont="1" applyFill="1" applyBorder="1" applyAlignment="1">
      <alignment horizontal="center" vertical="top" wrapText="1" shrinkToFit="1"/>
    </xf>
    <xf numFmtId="0" fontId="34" fillId="0" borderId="33" xfId="0" applyNumberFormat="1" applyFont="1" applyFill="1" applyBorder="1" applyAlignment="1">
      <alignment horizontal="center" vertical="top" wrapText="1" shrinkToFit="1"/>
    </xf>
    <xf numFmtId="0" fontId="31" fillId="0" borderId="116" xfId="2" applyNumberFormat="1" applyFont="1" applyFill="1" applyBorder="1" applyAlignment="1">
      <alignment horizontal="center" vertical="center" shrinkToFit="1"/>
    </xf>
    <xf numFmtId="0" fontId="31" fillId="0" borderId="9" xfId="2" applyNumberFormat="1" applyFont="1" applyFill="1" applyBorder="1" applyAlignment="1">
      <alignment horizontal="center" vertical="center" shrinkToFit="1"/>
    </xf>
    <xf numFmtId="0" fontId="31" fillId="0" borderId="18" xfId="2" applyNumberFormat="1" applyFont="1" applyFill="1" applyBorder="1" applyAlignment="1">
      <alignment horizontal="center" vertical="center" shrinkToFit="1"/>
    </xf>
    <xf numFmtId="0" fontId="31" fillId="0" borderId="116" xfId="2" applyNumberFormat="1" applyFont="1" applyBorder="1" applyAlignment="1">
      <alignment horizontal="center" vertical="center" shrinkToFit="1"/>
    </xf>
    <xf numFmtId="0" fontId="31" fillId="0" borderId="9" xfId="2" applyNumberFormat="1" applyFont="1" applyBorder="1" applyAlignment="1">
      <alignment horizontal="center" vertical="center" shrinkToFit="1"/>
    </xf>
    <xf numFmtId="0" fontId="31" fillId="0" borderId="18" xfId="2" applyNumberFormat="1" applyFont="1" applyBorder="1" applyAlignment="1">
      <alignment horizontal="center" vertical="center" shrinkToFit="1"/>
    </xf>
    <xf numFmtId="0" fontId="16" fillId="0" borderId="0" xfId="0" applyNumberFormat="1" applyFont="1" applyFill="1" applyBorder="1" applyAlignment="1">
      <alignment horizontal="left" vertical="top" wrapText="1" shrinkToFit="1"/>
    </xf>
    <xf numFmtId="0" fontId="18" fillId="0" borderId="0" xfId="1" applyFont="1" applyBorder="1" applyAlignment="1">
      <alignment horizontal="right" vertical="center"/>
    </xf>
    <xf numFmtId="0" fontId="44" fillId="0" borderId="6" xfId="0" applyNumberFormat="1" applyFont="1" applyFill="1" applyBorder="1" applyAlignment="1">
      <alignment horizontal="center" vertical="center" shrinkToFit="1"/>
    </xf>
    <xf numFmtId="0" fontId="44" fillId="0" borderId="0" xfId="0" applyNumberFormat="1" applyFont="1" applyFill="1" applyBorder="1" applyAlignment="1">
      <alignment horizontal="center" vertical="center" shrinkToFit="1"/>
    </xf>
    <xf numFmtId="0" fontId="44" fillId="0" borderId="7" xfId="0" applyNumberFormat="1" applyFont="1" applyFill="1" applyBorder="1" applyAlignment="1">
      <alignment horizontal="center" vertical="center" shrinkToFit="1"/>
    </xf>
    <xf numFmtId="0" fontId="44" fillId="0" borderId="36" xfId="0" applyNumberFormat="1" applyFont="1" applyFill="1" applyBorder="1" applyAlignment="1">
      <alignment horizontal="center" vertical="center" shrinkToFit="1"/>
    </xf>
    <xf numFmtId="0" fontId="44" fillId="0" borderId="37" xfId="0" applyNumberFormat="1" applyFont="1" applyFill="1" applyBorder="1" applyAlignment="1">
      <alignment horizontal="center" vertical="center" shrinkToFit="1"/>
    </xf>
    <xf numFmtId="0" fontId="44" fillId="0" borderId="8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12" xfId="0" applyNumberFormat="1" applyFont="1" applyFill="1" applyBorder="1" applyAlignment="1">
      <alignment horizontal="center" vertical="center" shrinkToFit="1"/>
    </xf>
    <xf numFmtId="0" fontId="43" fillId="0" borderId="1" xfId="0" applyNumberFormat="1" applyFont="1" applyFill="1" applyBorder="1" applyAlignment="1">
      <alignment horizontal="center" vertical="center" shrinkToFit="1"/>
    </xf>
    <xf numFmtId="0" fontId="43" fillId="0" borderId="2" xfId="0" applyNumberFormat="1" applyFont="1" applyFill="1" applyBorder="1" applyAlignment="1">
      <alignment horizontal="center" vertical="center" shrinkToFit="1"/>
    </xf>
    <xf numFmtId="0" fontId="43" fillId="0" borderId="3" xfId="0" applyNumberFormat="1" applyFont="1" applyFill="1" applyBorder="1" applyAlignment="1">
      <alignment horizontal="center" vertical="center" shrinkToFit="1"/>
    </xf>
    <xf numFmtId="0" fontId="43" fillId="0" borderId="6" xfId="0" applyNumberFormat="1" applyFont="1" applyFill="1" applyBorder="1" applyAlignment="1">
      <alignment horizontal="center" vertical="center" shrinkToFit="1"/>
    </xf>
    <xf numFmtId="0" fontId="43" fillId="0" borderId="0" xfId="0" applyNumberFormat="1" applyFont="1" applyFill="1" applyBorder="1" applyAlignment="1">
      <alignment horizontal="center" vertical="center" shrinkToFit="1"/>
    </xf>
    <xf numFmtId="0" fontId="43" fillId="0" borderId="7" xfId="0" applyNumberFormat="1" applyFont="1" applyFill="1" applyBorder="1" applyAlignment="1">
      <alignment horizontal="center" vertical="center" shrinkToFit="1"/>
    </xf>
    <xf numFmtId="0" fontId="45" fillId="0" borderId="26" xfId="0" applyNumberFormat="1" applyFont="1" applyFill="1" applyBorder="1" applyAlignment="1">
      <alignment horizontal="left" vertical="center" wrapText="1" shrinkToFit="1"/>
    </xf>
    <xf numFmtId="0" fontId="45" fillId="0" borderId="11" xfId="0" applyNumberFormat="1" applyFont="1" applyFill="1" applyBorder="1" applyAlignment="1">
      <alignment horizontal="left" vertical="center" wrapText="1" shrinkToFit="1"/>
    </xf>
    <xf numFmtId="0" fontId="45" fillId="0" borderId="6" xfId="0" applyNumberFormat="1" applyFont="1" applyFill="1" applyBorder="1" applyAlignment="1">
      <alignment horizontal="left" vertical="center" wrapText="1" shrinkToFit="1"/>
    </xf>
    <xf numFmtId="0" fontId="45" fillId="0" borderId="0" xfId="0" applyNumberFormat="1" applyFont="1" applyFill="1" applyBorder="1" applyAlignment="1">
      <alignment horizontal="left" vertical="center" wrapText="1" shrinkToFit="1"/>
    </xf>
    <xf numFmtId="0" fontId="49" fillId="0" borderId="142" xfId="0" applyNumberFormat="1" applyFont="1" applyFill="1" applyBorder="1" applyAlignment="1">
      <alignment horizontal="center" vertical="center" wrapText="1" shrinkToFit="1"/>
    </xf>
    <xf numFmtId="0" fontId="49" fillId="0" borderId="145" xfId="0" applyNumberFormat="1" applyFont="1" applyFill="1" applyBorder="1" applyAlignment="1">
      <alignment horizontal="center" vertical="center" wrapText="1" shrinkToFit="1"/>
    </xf>
    <xf numFmtId="0" fontId="49" fillId="0" borderId="148" xfId="0" applyNumberFormat="1" applyFont="1" applyFill="1" applyBorder="1" applyAlignment="1">
      <alignment horizontal="center" vertical="center" wrapText="1" shrinkToFit="1"/>
    </xf>
    <xf numFmtId="0" fontId="45" fillId="0" borderId="143" xfId="0" applyNumberFormat="1" applyFont="1" applyFill="1" applyBorder="1" applyAlignment="1">
      <alignment horizontal="center" vertical="center" wrapText="1" shrinkToFit="1"/>
    </xf>
    <xf numFmtId="0" fontId="45" fillId="0" borderId="144" xfId="0" applyNumberFormat="1" applyFont="1" applyFill="1" applyBorder="1" applyAlignment="1">
      <alignment horizontal="center" vertical="center" wrapText="1" shrinkToFit="1"/>
    </xf>
    <xf numFmtId="0" fontId="45" fillId="0" borderId="146" xfId="0" applyNumberFormat="1" applyFont="1" applyFill="1" applyBorder="1" applyAlignment="1">
      <alignment horizontal="center" vertical="center" wrapText="1" shrinkToFit="1"/>
    </xf>
    <xf numFmtId="0" fontId="45" fillId="0" borderId="147" xfId="0" applyNumberFormat="1" applyFont="1" applyFill="1" applyBorder="1" applyAlignment="1">
      <alignment horizontal="center" vertical="center" wrapText="1" shrinkToFit="1"/>
    </xf>
    <xf numFmtId="0" fontId="45" fillId="0" borderId="149" xfId="0" applyNumberFormat="1" applyFont="1" applyFill="1" applyBorder="1" applyAlignment="1">
      <alignment horizontal="center" vertical="center" wrapText="1" shrinkToFit="1"/>
    </xf>
    <xf numFmtId="0" fontId="45" fillId="0" borderId="150" xfId="0" applyNumberFormat="1" applyFont="1" applyFill="1" applyBorder="1" applyAlignment="1">
      <alignment horizontal="center" vertical="center" wrapText="1" shrinkToFit="1"/>
    </xf>
    <xf numFmtId="0" fontId="11" fillId="0" borderId="87" xfId="0" applyNumberFormat="1" applyFont="1" applyFill="1" applyBorder="1" applyAlignment="1">
      <alignment horizontal="center" vertical="center" shrinkToFit="1"/>
    </xf>
    <xf numFmtId="0" fontId="11" fillId="0" borderId="23" xfId="0" applyNumberFormat="1" applyFont="1" applyFill="1" applyBorder="1" applyAlignment="1">
      <alignment horizontal="center" vertical="center" shrinkToFit="1"/>
    </xf>
    <xf numFmtId="0" fontId="21" fillId="6" borderId="73" xfId="0" applyFont="1" applyFill="1" applyBorder="1" applyAlignment="1">
      <alignment horizontal="center" vertical="center" shrinkToFit="1"/>
    </xf>
    <xf numFmtId="0" fontId="21" fillId="6" borderId="74" xfId="0" applyFont="1" applyFill="1" applyBorder="1" applyAlignment="1">
      <alignment horizontal="center" vertical="center" shrinkToFit="1"/>
    </xf>
    <xf numFmtId="0" fontId="21" fillId="6" borderId="75" xfId="0" applyFont="1" applyFill="1" applyBorder="1" applyAlignment="1">
      <alignment horizontal="center" vertical="center" shrinkToFit="1"/>
    </xf>
    <xf numFmtId="0" fontId="19" fillId="4" borderId="9" xfId="0" applyFont="1" applyFill="1" applyBorder="1" applyAlignment="1">
      <alignment horizontal="center" vertical="center" wrapText="1" shrinkToFit="1"/>
    </xf>
    <xf numFmtId="0" fontId="19" fillId="4" borderId="16" xfId="0" applyFont="1" applyFill="1" applyBorder="1" applyAlignment="1">
      <alignment horizontal="center" vertical="center" wrapText="1" shrinkToFit="1"/>
    </xf>
    <xf numFmtId="177" fontId="4" fillId="7" borderId="17" xfId="0" applyNumberFormat="1" applyFont="1" applyFill="1" applyBorder="1" applyAlignment="1">
      <alignment horizontal="center" vertical="center" shrinkToFit="1"/>
    </xf>
    <xf numFmtId="177" fontId="4" fillId="7" borderId="18" xfId="0" applyNumberFormat="1" applyFont="1" applyFill="1" applyBorder="1" applyAlignment="1">
      <alignment horizontal="center" vertical="center" shrinkToFit="1"/>
    </xf>
    <xf numFmtId="0" fontId="11" fillId="0" borderId="36" xfId="0" applyNumberFormat="1" applyFont="1" applyFill="1" applyBorder="1" applyAlignment="1">
      <alignment horizontal="center" vertical="center" shrinkToFit="1"/>
    </xf>
    <xf numFmtId="177" fontId="25" fillId="0" borderId="105" xfId="0" applyNumberFormat="1" applyFont="1" applyFill="1" applyBorder="1" applyAlignment="1">
      <alignment horizontal="center" vertical="center" shrinkToFit="1"/>
    </xf>
    <xf numFmtId="177" fontId="25" fillId="0" borderId="37" xfId="0" applyNumberFormat="1" applyFont="1" applyFill="1" applyBorder="1" applyAlignment="1">
      <alignment horizontal="center" vertical="center" shrinkToFit="1"/>
    </xf>
    <xf numFmtId="177" fontId="25" fillId="0" borderId="8" xfId="0" applyNumberFormat="1" applyFont="1" applyFill="1" applyBorder="1" applyAlignment="1">
      <alignment horizontal="center" vertical="center" shrinkToFit="1"/>
    </xf>
    <xf numFmtId="0" fontId="11" fillId="0" borderId="25" xfId="0" applyNumberFormat="1" applyFont="1" applyFill="1" applyBorder="1" applyAlignment="1">
      <alignment horizontal="center" vertical="center" shrinkToFit="1"/>
    </xf>
    <xf numFmtId="0" fontId="11" fillId="9" borderId="4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38" fillId="0" borderId="2" xfId="0" applyFont="1" applyFill="1" applyBorder="1" applyAlignment="1">
      <alignment horizontal="center" vertical="center"/>
    </xf>
    <xf numFmtId="0" fontId="38" fillId="0" borderId="5" xfId="0" applyFont="1" applyFill="1" applyBorder="1" applyAlignment="1">
      <alignment horizontal="center" vertical="center"/>
    </xf>
    <xf numFmtId="0" fontId="11" fillId="9" borderId="13" xfId="0" applyFont="1" applyFill="1" applyBorder="1" applyAlignment="1">
      <alignment horizontal="center" vertical="center"/>
    </xf>
    <xf numFmtId="0" fontId="11" fillId="9" borderId="15" xfId="0" applyFont="1" applyFill="1" applyBorder="1" applyAlignment="1">
      <alignment horizontal="center" vertical="center"/>
    </xf>
    <xf numFmtId="14" fontId="38" fillId="0" borderId="14" xfId="0" applyNumberFormat="1" applyFont="1" applyFill="1" applyBorder="1" applyAlignment="1">
      <alignment horizontal="center" vertical="center"/>
    </xf>
    <xf numFmtId="0" fontId="38" fillId="0" borderId="14" xfId="0" applyFont="1" applyFill="1" applyBorder="1" applyAlignment="1">
      <alignment horizontal="center" vertical="center"/>
    </xf>
    <xf numFmtId="0" fontId="38" fillId="0" borderId="15" xfId="0" applyFont="1" applyFill="1" applyBorder="1" applyAlignment="1">
      <alignment horizontal="center" vertical="center"/>
    </xf>
    <xf numFmtId="0" fontId="6" fillId="0" borderId="117" xfId="0" applyNumberFormat="1" applyFont="1" applyBorder="1" applyAlignment="1">
      <alignment horizontal="center" vertical="center" shrinkToFit="1"/>
    </xf>
    <xf numFmtId="0" fontId="6" fillId="0" borderId="118" xfId="0" applyNumberFormat="1" applyFont="1" applyBorder="1" applyAlignment="1">
      <alignment horizontal="center" vertical="center" shrinkToFit="1"/>
    </xf>
    <xf numFmtId="0" fontId="9" fillId="0" borderId="17" xfId="0" applyNumberFormat="1" applyFont="1" applyBorder="1" applyAlignment="1">
      <alignment horizontal="center" vertical="center" shrinkToFit="1"/>
    </xf>
    <xf numFmtId="0" fontId="9" fillId="0" borderId="9" xfId="0" applyNumberFormat="1" applyFont="1" applyBorder="1" applyAlignment="1">
      <alignment horizontal="center" vertical="center" shrinkToFit="1"/>
    </xf>
    <xf numFmtId="0" fontId="9" fillId="0" borderId="18" xfId="0" applyNumberFormat="1" applyFont="1" applyBorder="1" applyAlignment="1">
      <alignment horizontal="center" vertical="center" shrinkToFit="1"/>
    </xf>
    <xf numFmtId="0" fontId="6" fillId="0" borderId="99" xfId="0" applyNumberFormat="1" applyFont="1" applyBorder="1" applyAlignment="1">
      <alignment horizontal="center" vertical="center" shrinkToFit="1"/>
    </xf>
    <xf numFmtId="0" fontId="6" fillId="0" borderId="100" xfId="0" applyNumberFormat="1" applyFont="1" applyBorder="1" applyAlignment="1">
      <alignment horizontal="center" vertical="center" shrinkToFit="1"/>
    </xf>
    <xf numFmtId="0" fontId="6" fillId="0" borderId="87" xfId="0" applyNumberFormat="1" applyFont="1" applyBorder="1" applyAlignment="1">
      <alignment horizontal="center" vertical="center" shrinkToFit="1"/>
    </xf>
    <xf numFmtId="0" fontId="6" fillId="0" borderId="24" xfId="0" applyNumberFormat="1" applyFont="1" applyBorder="1" applyAlignment="1">
      <alignment horizontal="center" vertical="center" shrinkToFit="1"/>
    </xf>
    <xf numFmtId="0" fontId="6" fillId="0" borderId="25" xfId="0" applyNumberFormat="1" applyFont="1" applyBorder="1" applyAlignment="1">
      <alignment horizontal="center" vertical="center" shrinkToFit="1"/>
    </xf>
    <xf numFmtId="0" fontId="4" fillId="0" borderId="73" xfId="0" applyNumberFormat="1" applyFont="1" applyFill="1" applyBorder="1" applyAlignment="1">
      <alignment horizontal="center" vertical="center" shrinkToFit="1"/>
    </xf>
    <xf numFmtId="0" fontId="4" fillId="0" borderId="74" xfId="0" applyNumberFormat="1" applyFont="1" applyFill="1" applyBorder="1" applyAlignment="1">
      <alignment horizontal="center" vertical="center" shrinkToFit="1"/>
    </xf>
    <xf numFmtId="0" fontId="4" fillId="0" borderId="75" xfId="0" applyNumberFormat="1" applyFont="1" applyFill="1" applyBorder="1" applyAlignment="1">
      <alignment horizontal="center" vertical="center" shrinkToFit="1"/>
    </xf>
    <xf numFmtId="0" fontId="15" fillId="0" borderId="37" xfId="0" applyNumberFormat="1" applyFont="1" applyFill="1" applyBorder="1" applyAlignment="1">
      <alignment horizontal="center" vertical="top" wrapText="1" shrinkToFit="1"/>
    </xf>
    <xf numFmtId="0" fontId="24" fillId="0" borderId="105" xfId="0" applyNumberFormat="1" applyFont="1" applyFill="1" applyBorder="1" applyAlignment="1">
      <alignment horizontal="center" vertical="center" wrapText="1" shrinkToFit="1"/>
    </xf>
    <xf numFmtId="0" fontId="24" fillId="0" borderId="37" xfId="0" applyNumberFormat="1" applyFont="1" applyFill="1" applyBorder="1" applyAlignment="1">
      <alignment horizontal="center" vertical="center" wrapText="1" shrinkToFit="1"/>
    </xf>
    <xf numFmtId="49" fontId="11" fillId="0" borderId="6" xfId="0" applyNumberFormat="1" applyFont="1" applyFill="1" applyBorder="1" applyAlignment="1">
      <alignment horizontal="center" vertical="center" wrapText="1" shrinkToFit="1"/>
    </xf>
    <xf numFmtId="49" fontId="11" fillId="0" borderId="0" xfId="0" applyNumberFormat="1" applyFont="1" applyFill="1" applyBorder="1" applyAlignment="1">
      <alignment horizontal="center" vertical="center" wrapText="1" shrinkToFit="1"/>
    </xf>
    <xf numFmtId="49" fontId="11" fillId="0" borderId="27" xfId="0" applyNumberFormat="1" applyFont="1" applyFill="1" applyBorder="1" applyAlignment="1">
      <alignment horizontal="center" vertical="center" wrapText="1" shrinkToFit="1"/>
    </xf>
    <xf numFmtId="49" fontId="11" fillId="0" borderId="36" xfId="0" applyNumberFormat="1" applyFont="1" applyFill="1" applyBorder="1" applyAlignment="1">
      <alignment horizontal="center" vertical="center" wrapText="1" shrinkToFit="1"/>
    </xf>
    <xf numFmtId="49" fontId="11" fillId="0" borderId="37" xfId="0" applyNumberFormat="1" applyFont="1" applyFill="1" applyBorder="1" applyAlignment="1">
      <alignment horizontal="center" vertical="center" wrapText="1" shrinkToFit="1"/>
    </xf>
    <xf numFmtId="49" fontId="11" fillId="0" borderId="104" xfId="0" applyNumberFormat="1" applyFont="1" applyFill="1" applyBorder="1" applyAlignment="1">
      <alignment horizontal="center" vertical="center" wrapText="1" shrinkToFit="1"/>
    </xf>
    <xf numFmtId="0" fontId="15" fillId="0" borderId="11" xfId="0" applyNumberFormat="1" applyFont="1" applyFill="1" applyBorder="1" applyAlignment="1">
      <alignment horizontal="center" vertical="top" wrapText="1" shrinkToFit="1"/>
    </xf>
    <xf numFmtId="0" fontId="15" fillId="0" borderId="12" xfId="0" applyNumberFormat="1" applyFont="1" applyFill="1" applyBorder="1" applyAlignment="1">
      <alignment horizontal="center" vertical="top" wrapText="1" shrinkToFit="1"/>
    </xf>
    <xf numFmtId="0" fontId="15" fillId="0" borderId="0" xfId="0" applyNumberFormat="1" applyFont="1" applyFill="1" applyBorder="1" applyAlignment="1">
      <alignment horizontal="center" vertical="top" wrapText="1" shrinkToFit="1"/>
    </xf>
    <xf numFmtId="0" fontId="15" fillId="0" borderId="7" xfId="0" applyNumberFormat="1" applyFont="1" applyFill="1" applyBorder="1" applyAlignment="1">
      <alignment horizontal="center" vertical="top" wrapText="1" shrinkToFit="1"/>
    </xf>
    <xf numFmtId="0" fontId="15" fillId="0" borderId="8" xfId="0" applyNumberFormat="1" applyFont="1" applyFill="1" applyBorder="1" applyAlignment="1">
      <alignment horizontal="center" vertical="top" wrapText="1" shrinkToFit="1"/>
    </xf>
    <xf numFmtId="0" fontId="11" fillId="0" borderId="13" xfId="0" applyNumberFormat="1" applyFont="1" applyFill="1" applyBorder="1" applyAlignment="1">
      <alignment horizontal="center" vertical="center" shrinkToFit="1"/>
    </xf>
    <xf numFmtId="0" fontId="11" fillId="0" borderId="14" xfId="0" applyNumberFormat="1" applyFont="1" applyFill="1" applyBorder="1" applyAlignment="1">
      <alignment horizontal="center" vertical="center" shrinkToFit="1"/>
    </xf>
    <xf numFmtId="0" fontId="11" fillId="0" borderId="35" xfId="0" applyNumberFormat="1" applyFont="1" applyFill="1" applyBorder="1" applyAlignment="1">
      <alignment horizontal="center" vertical="center" shrinkToFit="1"/>
    </xf>
    <xf numFmtId="0" fontId="24" fillId="0" borderId="0" xfId="0" applyNumberFormat="1" applyFont="1" applyFill="1" applyBorder="1" applyAlignment="1">
      <alignment horizontal="center" vertical="center" wrapText="1" shrinkToFit="1"/>
    </xf>
    <xf numFmtId="0" fontId="24" fillId="5" borderId="97" xfId="0" applyNumberFormat="1" applyFont="1" applyFill="1" applyBorder="1" applyAlignment="1">
      <alignment horizontal="center" vertical="center" wrapText="1" shrinkToFit="1"/>
    </xf>
    <xf numFmtId="0" fontId="24" fillId="0" borderId="13" xfId="0" applyNumberFormat="1" applyFont="1" applyFill="1" applyBorder="1" applyAlignment="1">
      <alignment horizontal="center" vertical="top" wrapText="1" shrinkToFit="1"/>
    </xf>
    <xf numFmtId="0" fontId="24" fillId="0" borderId="14" xfId="0" applyNumberFormat="1" applyFont="1" applyFill="1" applyBorder="1" applyAlignment="1">
      <alignment horizontal="center" vertical="top" wrapText="1" shrinkToFit="1"/>
    </xf>
    <xf numFmtId="0" fontId="24" fillId="0" borderId="35" xfId="0" applyNumberFormat="1" applyFont="1" applyFill="1" applyBorder="1" applyAlignment="1">
      <alignment horizontal="center" vertical="top" wrapText="1" shrinkToFit="1"/>
    </xf>
    <xf numFmtId="0" fontId="24" fillId="0" borderId="10" xfId="0" applyNumberFormat="1" applyFont="1" applyFill="1" applyBorder="1" applyAlignment="1">
      <alignment horizontal="center" vertical="center" wrapText="1" shrinkToFit="1"/>
    </xf>
    <xf numFmtId="0" fontId="24" fillId="0" borderId="11" xfId="0" applyNumberFormat="1" applyFont="1" applyFill="1" applyBorder="1" applyAlignment="1">
      <alignment horizontal="center" vertical="center" wrapText="1" shrinkToFit="1"/>
    </xf>
    <xf numFmtId="49" fontId="11" fillId="0" borderId="34" xfId="0" applyNumberFormat="1" applyFont="1" applyFill="1" applyBorder="1" applyAlignment="1">
      <alignment horizontal="center" vertical="center" wrapText="1" shrinkToFit="1"/>
    </xf>
    <xf numFmtId="49" fontId="11" fillId="0" borderId="14" xfId="0" applyNumberFormat="1" applyFont="1" applyFill="1" applyBorder="1" applyAlignment="1">
      <alignment horizontal="center" vertical="center" wrapText="1" shrinkToFit="1"/>
    </xf>
    <xf numFmtId="49" fontId="11" fillId="9" borderId="13" xfId="0" applyNumberFormat="1" applyFont="1" applyFill="1" applyBorder="1" applyAlignment="1">
      <alignment horizontal="center" vertical="center" wrapText="1" shrinkToFit="1"/>
    </xf>
    <xf numFmtId="49" fontId="11" fillId="9" borderId="14" xfId="0" applyNumberFormat="1" applyFont="1" applyFill="1" applyBorder="1" applyAlignment="1">
      <alignment horizontal="center" vertical="center" shrinkToFit="1"/>
    </xf>
    <xf numFmtId="49" fontId="48" fillId="6" borderId="13" xfId="0" applyNumberFormat="1" applyFont="1" applyFill="1" applyBorder="1" applyAlignment="1">
      <alignment horizontal="center" vertical="center" shrinkToFit="1"/>
    </xf>
    <xf numFmtId="0" fontId="48" fillId="6" borderId="14" xfId="0" applyNumberFormat="1" applyFont="1" applyFill="1" applyBorder="1" applyAlignment="1">
      <alignment horizontal="center" vertical="center" shrinkToFit="1"/>
    </xf>
    <xf numFmtId="0" fontId="48" fillId="6" borderId="35" xfId="0" applyNumberFormat="1" applyFont="1" applyFill="1" applyBorder="1" applyAlignment="1">
      <alignment horizontal="center" vertical="center" shrinkToFit="1"/>
    </xf>
    <xf numFmtId="0" fontId="24" fillId="5" borderId="10" xfId="0" applyNumberFormat="1" applyFont="1" applyFill="1" applyBorder="1" applyAlignment="1">
      <alignment horizontal="center" vertical="center" wrapText="1" shrinkToFit="1"/>
    </xf>
    <xf numFmtId="0" fontId="24" fillId="5" borderId="11" xfId="0" applyNumberFormat="1" applyFont="1" applyFill="1" applyBorder="1" applyAlignment="1">
      <alignment horizontal="center" vertical="center" wrapText="1" shrinkToFit="1"/>
    </xf>
    <xf numFmtId="0" fontId="24" fillId="5" borderId="12" xfId="0" applyNumberFormat="1" applyFont="1" applyFill="1" applyBorder="1" applyAlignment="1">
      <alignment horizontal="center" vertical="center" wrapText="1" shrinkToFit="1"/>
    </xf>
    <xf numFmtId="0" fontId="24" fillId="5" borderId="32" xfId="0" applyNumberFormat="1" applyFont="1" applyFill="1" applyBorder="1" applyAlignment="1">
      <alignment horizontal="center" vertical="center" wrapText="1" shrinkToFit="1"/>
    </xf>
    <xf numFmtId="0" fontId="24" fillId="5" borderId="28" xfId="0" applyNumberFormat="1" applyFont="1" applyFill="1" applyBorder="1" applyAlignment="1">
      <alignment horizontal="center" vertical="center" wrapText="1" shrinkToFit="1"/>
    </xf>
    <xf numFmtId="0" fontId="24" fillId="5" borderId="33" xfId="0" applyNumberFormat="1" applyFont="1" applyFill="1" applyBorder="1" applyAlignment="1">
      <alignment horizontal="center" vertical="center" wrapText="1" shrinkToFit="1"/>
    </xf>
    <xf numFmtId="49" fontId="8" fillId="2" borderId="10" xfId="0" applyNumberFormat="1" applyFont="1" applyFill="1" applyBorder="1" applyAlignment="1">
      <alignment horizontal="center" vertical="center" shrinkToFit="1"/>
    </xf>
    <xf numFmtId="49" fontId="8" fillId="2" borderId="11" xfId="0" applyNumberFormat="1" applyFont="1" applyFill="1" applyBorder="1" applyAlignment="1">
      <alignment horizontal="center" vertical="center" shrinkToFit="1"/>
    </xf>
    <xf numFmtId="49" fontId="8" fillId="2" borderId="12" xfId="0" applyNumberFormat="1" applyFont="1" applyFill="1" applyBorder="1" applyAlignment="1">
      <alignment horizontal="center" vertical="center" shrinkToFit="1"/>
    </xf>
    <xf numFmtId="49" fontId="11" fillId="0" borderId="38" xfId="0" applyNumberFormat="1" applyFont="1" applyFill="1" applyBorder="1" applyAlignment="1">
      <alignment horizontal="left" vertical="center" wrapText="1" shrinkToFit="1"/>
    </xf>
    <xf numFmtId="49" fontId="11" fillId="0" borderId="7" xfId="0" applyNumberFormat="1" applyFont="1" applyFill="1" applyBorder="1" applyAlignment="1">
      <alignment horizontal="left" vertical="center" wrapText="1" shrinkToFit="1"/>
    </xf>
    <xf numFmtId="49" fontId="11" fillId="0" borderId="32" xfId="0" applyNumberFormat="1" applyFont="1" applyFill="1" applyBorder="1" applyAlignment="1">
      <alignment horizontal="left" vertical="center" wrapText="1" shrinkToFit="1"/>
    </xf>
    <xf numFmtId="49" fontId="11" fillId="0" borderId="33" xfId="0" applyNumberFormat="1" applyFont="1" applyFill="1" applyBorder="1" applyAlignment="1">
      <alignment horizontal="left" vertical="center" wrapText="1" shrinkToFit="1"/>
    </xf>
    <xf numFmtId="0" fontId="11" fillId="10" borderId="22" xfId="0" applyNumberFormat="1" applyFont="1" applyFill="1" applyBorder="1" applyAlignment="1">
      <alignment horizontal="center" vertical="center" shrinkToFit="1"/>
    </xf>
    <xf numFmtId="0" fontId="11" fillId="10" borderId="24" xfId="0" applyNumberFormat="1" applyFont="1" applyFill="1" applyBorder="1" applyAlignment="1">
      <alignment horizontal="center" vertical="center" shrinkToFit="1"/>
    </xf>
    <xf numFmtId="0" fontId="10" fillId="9" borderId="87" xfId="0" applyNumberFormat="1" applyFont="1" applyFill="1" applyBorder="1" applyAlignment="1">
      <alignment horizontal="center" vertical="center" shrinkToFit="1"/>
    </xf>
    <xf numFmtId="0" fontId="10" fillId="9" borderId="24" xfId="0" applyNumberFormat="1" applyFont="1" applyFill="1" applyBorder="1" applyAlignment="1">
      <alignment horizontal="center" vertical="center" shrinkToFit="1"/>
    </xf>
    <xf numFmtId="0" fontId="10" fillId="9" borderId="23" xfId="0" applyNumberFormat="1" applyFont="1" applyFill="1" applyBorder="1" applyAlignment="1">
      <alignment horizontal="center" vertical="center" shrinkToFit="1"/>
    </xf>
    <xf numFmtId="0" fontId="10" fillId="9" borderId="25" xfId="0" applyNumberFormat="1" applyFont="1" applyFill="1" applyBorder="1" applyAlignment="1">
      <alignment horizontal="center" vertical="center" shrinkToFit="1"/>
    </xf>
    <xf numFmtId="0" fontId="9" fillId="0" borderId="84" xfId="0" applyFont="1" applyBorder="1" applyAlignment="1">
      <alignment horizontal="center" vertical="center" wrapText="1" shrinkToFit="1"/>
    </xf>
    <xf numFmtId="0" fontId="47" fillId="6" borderId="26" xfId="0" applyNumberFormat="1" applyFont="1" applyFill="1" applyBorder="1" applyAlignment="1">
      <alignment horizontal="left" vertical="center" indent="7" shrinkToFit="1"/>
    </xf>
    <xf numFmtId="0" fontId="47" fillId="6" borderId="11" xfId="0" applyNumberFormat="1" applyFont="1" applyFill="1" applyBorder="1" applyAlignment="1">
      <alignment horizontal="left" vertical="center" indent="7" shrinkToFit="1"/>
    </xf>
    <xf numFmtId="0" fontId="47" fillId="6" borderId="19" xfId="0" applyNumberFormat="1" applyFont="1" applyFill="1" applyBorder="1" applyAlignment="1">
      <alignment horizontal="left" vertical="center" indent="7" shrinkToFit="1"/>
    </xf>
    <xf numFmtId="0" fontId="47" fillId="6" borderId="6" xfId="0" applyNumberFormat="1" applyFont="1" applyFill="1" applyBorder="1" applyAlignment="1">
      <alignment horizontal="left" vertical="center" indent="7" shrinkToFit="1"/>
    </xf>
    <xf numFmtId="0" fontId="47" fillId="6" borderId="0" xfId="0" applyNumberFormat="1" applyFont="1" applyFill="1" applyBorder="1" applyAlignment="1">
      <alignment horizontal="left" vertical="center" indent="7" shrinkToFit="1"/>
    </xf>
    <xf numFmtId="0" fontId="47" fillId="6" borderId="27" xfId="0" applyNumberFormat="1" applyFont="1" applyFill="1" applyBorder="1" applyAlignment="1">
      <alignment horizontal="left" vertical="center" indent="7" shrinkToFit="1"/>
    </xf>
    <xf numFmtId="0" fontId="42" fillId="0" borderId="1" xfId="3" applyFont="1" applyBorder="1" applyAlignment="1">
      <alignment horizontal="center" vertical="center" wrapText="1"/>
    </xf>
    <xf numFmtId="0" fontId="42" fillId="0" borderId="2" xfId="3" applyFont="1" applyBorder="1" applyAlignment="1">
      <alignment horizontal="center" vertical="center" wrapText="1"/>
    </xf>
    <xf numFmtId="0" fontId="42" fillId="0" borderId="3" xfId="3" applyFont="1" applyBorder="1" applyAlignment="1">
      <alignment horizontal="center" vertical="center" wrapText="1"/>
    </xf>
    <xf numFmtId="0" fontId="42" fillId="0" borderId="6" xfId="3" applyFont="1" applyBorder="1" applyAlignment="1">
      <alignment horizontal="center" vertical="center" wrapText="1"/>
    </xf>
    <xf numFmtId="0" fontId="42" fillId="0" borderId="0" xfId="3" applyFont="1" applyBorder="1" applyAlignment="1">
      <alignment horizontal="center" vertical="center" wrapText="1"/>
    </xf>
    <xf numFmtId="0" fontId="42" fillId="0" borderId="7" xfId="3" applyFont="1" applyBorder="1" applyAlignment="1">
      <alignment horizontal="center" vertical="center" wrapText="1"/>
    </xf>
  </cellXfs>
  <cellStyles count="5">
    <cellStyle name="표준" xfId="0" builtinId="0"/>
    <cellStyle name="표준 2" xfId="2"/>
    <cellStyle name="표준 3" xfId="4"/>
    <cellStyle name="표준_P(1).SHAFT(SH)(메일발송용)" xfId="1"/>
    <cellStyle name="표준_관리계획서" xfId="3"/>
  </cellStyles>
  <dxfs count="8"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4.png"/><Relationship Id="rId4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image" Target="../media/image4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4924986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20" name="타원 19"/>
        <xdr:cNvSpPr/>
      </xdr:nvSpPr>
      <xdr:spPr>
        <a:xfrm>
          <a:off x="3665443" y="5380504"/>
          <a:ext cx="485215" cy="27342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8" name="타원 17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23" name="타원 22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24" name="타원 23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28" name="직선 화살표 연결선 27"/>
        <xdr:cNvCxnSpPr/>
      </xdr:nvCxnSpPr>
      <xdr:spPr>
        <a:xfrm>
          <a:off x="638735" y="2061882"/>
          <a:ext cx="53788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29" name="직선 화살표 연결선 28"/>
        <xdr:cNvCxnSpPr/>
      </xdr:nvCxnSpPr>
      <xdr:spPr>
        <a:xfrm>
          <a:off x="1636058" y="2061882"/>
          <a:ext cx="53788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30" name="직선 화살표 연결선 29"/>
        <xdr:cNvCxnSpPr/>
      </xdr:nvCxnSpPr>
      <xdr:spPr>
        <a:xfrm>
          <a:off x="2543735" y="2061882"/>
          <a:ext cx="53788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31" name="직선 화살표 연결선 30"/>
        <xdr:cNvCxnSpPr/>
      </xdr:nvCxnSpPr>
      <xdr:spPr>
        <a:xfrm>
          <a:off x="3485029" y="2050676"/>
          <a:ext cx="53788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32" name="직선 화살표 연결선 31"/>
        <xdr:cNvCxnSpPr/>
      </xdr:nvCxnSpPr>
      <xdr:spPr>
        <a:xfrm>
          <a:off x="4448735" y="2050676"/>
          <a:ext cx="53788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3" name="그룹 12"/>
        <xdr:cNvGrpSpPr/>
      </xdr:nvGrpSpPr>
      <xdr:grpSpPr>
        <a:xfrm>
          <a:off x="4303059" y="9211235"/>
          <a:ext cx="2767853" cy="1176618"/>
          <a:chOff x="342901" y="2063354"/>
          <a:chExt cx="1604591" cy="1343024"/>
        </a:xfrm>
      </xdr:grpSpPr>
      <xdr:pic>
        <xdr:nvPicPr>
          <xdr:cNvPr id="14" name="그림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5" name="그룹 14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4" name="타원 33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5" name="타원 34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6" name="타원 35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6" name="그룹 15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26" name="타원 2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7" name="타원 2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3" name="타원 32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7" name="그룹 16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21" name="타원 20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2" name="타원 21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5" name="타원 2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twoCellAnchor>
    <xdr:from>
      <xdr:col>24</xdr:col>
      <xdr:colOff>683559</xdr:colOff>
      <xdr:row>14</xdr:row>
      <xdr:rowOff>44824</xdr:rowOff>
    </xdr:from>
    <xdr:to>
      <xdr:col>28</xdr:col>
      <xdr:colOff>728383</xdr:colOff>
      <xdr:row>21</xdr:row>
      <xdr:rowOff>33617</xdr:rowOff>
    </xdr:to>
    <xdr:sp macro="" textlink="">
      <xdr:nvSpPr>
        <xdr:cNvPr id="37" name="TextBox 36"/>
        <xdr:cNvSpPr txBox="1"/>
      </xdr:nvSpPr>
      <xdr:spPr>
        <a:xfrm>
          <a:off x="8684559" y="3137648"/>
          <a:ext cx="3092824" cy="1602440"/>
        </a:xfrm>
        <a:prstGeom prst="rect">
          <a:avLst/>
        </a:prstGeom>
        <a:solidFill>
          <a:srgbClr val="FFFF00">
            <a:alpha val="34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2000">
              <a:solidFill>
                <a:srgbClr val="FF0000"/>
              </a:solidFill>
            </a:rPr>
            <a:t>패턴정보에 준함</a:t>
          </a:r>
          <a:endParaRPr lang="en-US" altLang="ko-KR" sz="2000">
            <a:solidFill>
              <a:srgbClr val="FF0000"/>
            </a:solidFill>
          </a:endParaRPr>
        </a:p>
        <a:p>
          <a:pPr algn="ctr"/>
          <a:r>
            <a:rPr lang="ko-KR" altLang="en-US" sz="2000">
              <a:solidFill>
                <a:srgbClr val="FF0000"/>
              </a:solidFill>
            </a:rPr>
            <a:t>패턴번호 </a:t>
          </a:r>
          <a:r>
            <a:rPr lang="en-US" altLang="ko-KR" sz="4400">
              <a:solidFill>
                <a:srgbClr val="FF0000"/>
              </a:solidFill>
            </a:rPr>
            <a:t>4</a:t>
          </a:r>
          <a:endParaRPr lang="ko-KR" altLang="en-US" sz="44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4924986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oneCellAnchor>
    <xdr:from>
      <xdr:col>9</xdr:col>
      <xdr:colOff>58273</xdr:colOff>
      <xdr:row>28</xdr:row>
      <xdr:rowOff>11206</xdr:rowOff>
    </xdr:from>
    <xdr:ext cx="1181100" cy="438152"/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87198" y="6002431"/>
          <a:ext cx="1181100" cy="438152"/>
        </a:xfrm>
        <a:prstGeom prst="rect">
          <a:avLst/>
        </a:prstGeom>
        <a:noFill/>
      </xdr:spPr>
    </xdr:pic>
    <xdr:clientData/>
  </xdr:one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10" name="타원 9"/>
        <xdr:cNvSpPr/>
      </xdr:nvSpPr>
      <xdr:spPr>
        <a:xfrm>
          <a:off x="3671606" y="5334000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11" name="타원 10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12" name="타원 11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13" name="타원 12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11206</xdr:colOff>
      <xdr:row>24</xdr:row>
      <xdr:rowOff>22412</xdr:rowOff>
    </xdr:from>
    <xdr:to>
      <xdr:col>22</xdr:col>
      <xdr:colOff>235324</xdr:colOff>
      <xdr:row>30</xdr:row>
      <xdr:rowOff>179294</xdr:rowOff>
    </xdr:to>
    <xdr:cxnSp macro="">
      <xdr:nvCxnSpPr>
        <xdr:cNvPr id="18" name="직선 연결선 17"/>
        <xdr:cNvCxnSpPr/>
      </xdr:nvCxnSpPr>
      <xdr:spPr>
        <a:xfrm flipH="1">
          <a:off x="5367618" y="5221941"/>
          <a:ext cx="1792941" cy="14343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23" name="직선 화살표 연결선 22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24" name="직선 화살표 연결선 23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25" name="직선 화살표 연결선 24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26" name="직선 화살표 연결선 25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27" name="직선 화살표 연결선 26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268942</xdr:colOff>
      <xdr:row>9</xdr:row>
      <xdr:rowOff>145677</xdr:rowOff>
    </xdr:from>
    <xdr:to>
      <xdr:col>20</xdr:col>
      <xdr:colOff>56029</xdr:colOff>
      <xdr:row>11</xdr:row>
      <xdr:rowOff>9526</xdr:rowOff>
    </xdr:to>
    <xdr:sp macro="" textlink="">
      <xdr:nvSpPr>
        <xdr:cNvPr id="17" name="타원 16"/>
        <xdr:cNvSpPr/>
      </xdr:nvSpPr>
      <xdr:spPr>
        <a:xfrm>
          <a:off x="5311589" y="2308412"/>
          <a:ext cx="1042146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224118</xdr:colOff>
      <xdr:row>43</xdr:row>
      <xdr:rowOff>67235</xdr:rowOff>
    </xdr:from>
    <xdr:to>
      <xdr:col>22</xdr:col>
      <xdr:colOff>145677</xdr:colOff>
      <xdr:row>46</xdr:row>
      <xdr:rowOff>302559</xdr:rowOff>
    </xdr:to>
    <xdr:grpSp>
      <xdr:nvGrpSpPr>
        <xdr:cNvPr id="19" name="그룹 18"/>
        <xdr:cNvGrpSpPr/>
      </xdr:nvGrpSpPr>
      <xdr:grpSpPr>
        <a:xfrm>
          <a:off x="4303059" y="9637059"/>
          <a:ext cx="2767853" cy="1176618"/>
          <a:chOff x="342901" y="2063354"/>
          <a:chExt cx="1604591" cy="1343024"/>
        </a:xfrm>
      </xdr:grpSpPr>
      <xdr:pic>
        <xdr:nvPicPr>
          <xdr:cNvPr id="20" name="그림 19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1" name="그룹 20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7" name="타원 36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8" name="타원 37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9" name="타원 38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2" name="그룹 21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34" name="타원 33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5" name="타원 34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6" name="타원 35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0" name="그룹 29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31" name="타원 30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2" name="타원 31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3" name="타원 32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326230</xdr:colOff>
      <xdr:row>4</xdr:row>
      <xdr:rowOff>47623</xdr:rowOff>
    </xdr:from>
    <xdr:to>
      <xdr:col>3</xdr:col>
      <xdr:colOff>921543</xdr:colOff>
      <xdr:row>4</xdr:row>
      <xdr:rowOff>273842</xdr:rowOff>
    </xdr:to>
    <xdr:sp macro="" textlink="">
      <xdr:nvSpPr>
        <xdr:cNvPr id="2" name="직사각형 1"/>
        <xdr:cNvSpPr/>
      </xdr:nvSpPr>
      <xdr:spPr>
        <a:xfrm>
          <a:off x="2383630" y="885823"/>
          <a:ext cx="357188" cy="159544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8</xdr:col>
      <xdr:colOff>321469</xdr:colOff>
      <xdr:row>4</xdr:row>
      <xdr:rowOff>59532</xdr:rowOff>
    </xdr:from>
    <xdr:to>
      <xdr:col>8</xdr:col>
      <xdr:colOff>942976</xdr:colOff>
      <xdr:row>4</xdr:row>
      <xdr:rowOff>261938</xdr:rowOff>
    </xdr:to>
    <xdr:sp macro="" textlink="">
      <xdr:nvSpPr>
        <xdr:cNvPr id="3" name="직사각형 2"/>
        <xdr:cNvSpPr/>
      </xdr:nvSpPr>
      <xdr:spPr>
        <a:xfrm>
          <a:off x="5807869" y="897732"/>
          <a:ext cx="364332" cy="145256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3</xdr:col>
      <xdr:colOff>273843</xdr:colOff>
      <xdr:row>9</xdr:row>
      <xdr:rowOff>47626</xdr:rowOff>
    </xdr:from>
    <xdr:to>
      <xdr:col>3</xdr:col>
      <xdr:colOff>904875</xdr:colOff>
      <xdr:row>9</xdr:row>
      <xdr:rowOff>250032</xdr:rowOff>
    </xdr:to>
    <xdr:sp macro="" textlink="">
      <xdr:nvSpPr>
        <xdr:cNvPr id="4" name="직사각형 3"/>
        <xdr:cNvSpPr/>
      </xdr:nvSpPr>
      <xdr:spPr>
        <a:xfrm>
          <a:off x="2331243" y="1933576"/>
          <a:ext cx="411957" cy="164306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8</xdr:col>
      <xdr:colOff>345282</xdr:colOff>
      <xdr:row>9</xdr:row>
      <xdr:rowOff>35719</xdr:rowOff>
    </xdr:from>
    <xdr:to>
      <xdr:col>8</xdr:col>
      <xdr:colOff>928688</xdr:colOff>
      <xdr:row>9</xdr:row>
      <xdr:rowOff>273844</xdr:rowOff>
    </xdr:to>
    <xdr:sp macro="" textlink="">
      <xdr:nvSpPr>
        <xdr:cNvPr id="5" name="직사각형 4"/>
        <xdr:cNvSpPr/>
      </xdr:nvSpPr>
      <xdr:spPr>
        <a:xfrm>
          <a:off x="5831682" y="1921669"/>
          <a:ext cx="335756" cy="171450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3</xdr:col>
      <xdr:colOff>285750</xdr:colOff>
      <xdr:row>14</xdr:row>
      <xdr:rowOff>71439</xdr:rowOff>
    </xdr:from>
    <xdr:to>
      <xdr:col>3</xdr:col>
      <xdr:colOff>904876</xdr:colOff>
      <xdr:row>14</xdr:row>
      <xdr:rowOff>285751</xdr:rowOff>
    </xdr:to>
    <xdr:sp macro="" textlink="">
      <xdr:nvSpPr>
        <xdr:cNvPr id="6" name="직사각형 5"/>
        <xdr:cNvSpPr/>
      </xdr:nvSpPr>
      <xdr:spPr>
        <a:xfrm>
          <a:off x="2343150" y="3005139"/>
          <a:ext cx="400051" cy="138112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3</xdr:col>
      <xdr:colOff>261937</xdr:colOff>
      <xdr:row>19</xdr:row>
      <xdr:rowOff>85725</xdr:rowOff>
    </xdr:from>
    <xdr:to>
      <xdr:col>3</xdr:col>
      <xdr:colOff>973931</xdr:colOff>
      <xdr:row>19</xdr:row>
      <xdr:rowOff>261938</xdr:rowOff>
    </xdr:to>
    <xdr:sp macro="" textlink="">
      <xdr:nvSpPr>
        <xdr:cNvPr id="8" name="직사각형 7"/>
        <xdr:cNvSpPr/>
      </xdr:nvSpPr>
      <xdr:spPr>
        <a:xfrm>
          <a:off x="2319337" y="4067175"/>
          <a:ext cx="426244" cy="119063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8</xdr:col>
      <xdr:colOff>357188</xdr:colOff>
      <xdr:row>19</xdr:row>
      <xdr:rowOff>71437</xdr:rowOff>
    </xdr:from>
    <xdr:to>
      <xdr:col>8</xdr:col>
      <xdr:colOff>881063</xdr:colOff>
      <xdr:row>19</xdr:row>
      <xdr:rowOff>297656</xdr:rowOff>
    </xdr:to>
    <xdr:sp macro="" textlink="">
      <xdr:nvSpPr>
        <xdr:cNvPr id="9" name="직사각형 8"/>
        <xdr:cNvSpPr/>
      </xdr:nvSpPr>
      <xdr:spPr>
        <a:xfrm>
          <a:off x="5843588" y="4052887"/>
          <a:ext cx="323850" cy="140494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3</xdr:col>
      <xdr:colOff>261938</xdr:colOff>
      <xdr:row>29</xdr:row>
      <xdr:rowOff>83344</xdr:rowOff>
    </xdr:from>
    <xdr:to>
      <xdr:col>3</xdr:col>
      <xdr:colOff>933451</xdr:colOff>
      <xdr:row>29</xdr:row>
      <xdr:rowOff>238126</xdr:rowOff>
    </xdr:to>
    <xdr:sp macro="" textlink="">
      <xdr:nvSpPr>
        <xdr:cNvPr id="12" name="직사각형 11"/>
        <xdr:cNvSpPr/>
      </xdr:nvSpPr>
      <xdr:spPr>
        <a:xfrm>
          <a:off x="2319338" y="6160294"/>
          <a:ext cx="423863" cy="126207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8</xdr:col>
      <xdr:colOff>321469</xdr:colOff>
      <xdr:row>14</xdr:row>
      <xdr:rowOff>59532</xdr:rowOff>
    </xdr:from>
    <xdr:to>
      <xdr:col>8</xdr:col>
      <xdr:colOff>942976</xdr:colOff>
      <xdr:row>14</xdr:row>
      <xdr:rowOff>261938</xdr:rowOff>
    </xdr:to>
    <xdr:sp macro="" textlink="">
      <xdr:nvSpPr>
        <xdr:cNvPr id="17" name="직사각형 16"/>
        <xdr:cNvSpPr/>
      </xdr:nvSpPr>
      <xdr:spPr>
        <a:xfrm>
          <a:off x="5807869" y="2993232"/>
          <a:ext cx="364332" cy="145256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8</xdr:col>
      <xdr:colOff>321469</xdr:colOff>
      <xdr:row>24</xdr:row>
      <xdr:rowOff>59532</xdr:rowOff>
    </xdr:from>
    <xdr:to>
      <xdr:col>8</xdr:col>
      <xdr:colOff>942976</xdr:colOff>
      <xdr:row>24</xdr:row>
      <xdr:rowOff>261938</xdr:rowOff>
    </xdr:to>
    <xdr:sp macro="" textlink="">
      <xdr:nvSpPr>
        <xdr:cNvPr id="22" name="직사각형 21"/>
        <xdr:cNvSpPr/>
      </xdr:nvSpPr>
      <xdr:spPr>
        <a:xfrm>
          <a:off x="5807869" y="5088732"/>
          <a:ext cx="364332" cy="145256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8</xdr:col>
      <xdr:colOff>321469</xdr:colOff>
      <xdr:row>29</xdr:row>
      <xdr:rowOff>59532</xdr:rowOff>
    </xdr:from>
    <xdr:to>
      <xdr:col>8</xdr:col>
      <xdr:colOff>942976</xdr:colOff>
      <xdr:row>29</xdr:row>
      <xdr:rowOff>261938</xdr:rowOff>
    </xdr:to>
    <xdr:sp macro="" textlink="">
      <xdr:nvSpPr>
        <xdr:cNvPr id="23" name="직사각형 22"/>
        <xdr:cNvSpPr/>
      </xdr:nvSpPr>
      <xdr:spPr>
        <a:xfrm>
          <a:off x="5807869" y="6136482"/>
          <a:ext cx="364332" cy="145256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  <xdr:twoCellAnchor>
    <xdr:from>
      <xdr:col>3</xdr:col>
      <xdr:colOff>261937</xdr:colOff>
      <xdr:row>24</xdr:row>
      <xdr:rowOff>85725</xdr:rowOff>
    </xdr:from>
    <xdr:to>
      <xdr:col>3</xdr:col>
      <xdr:colOff>973931</xdr:colOff>
      <xdr:row>24</xdr:row>
      <xdr:rowOff>261938</xdr:rowOff>
    </xdr:to>
    <xdr:sp macro="" textlink="">
      <xdr:nvSpPr>
        <xdr:cNvPr id="24" name="직사각형 23"/>
        <xdr:cNvSpPr/>
      </xdr:nvSpPr>
      <xdr:spPr>
        <a:xfrm>
          <a:off x="2706687" y="6308725"/>
          <a:ext cx="711994" cy="176213"/>
        </a:xfrm>
        <a:prstGeom prst="rect">
          <a:avLst/>
        </a:prstGeom>
        <a:noFill/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ko-KR" alt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11206</xdr:colOff>
      <xdr:row>8</xdr:row>
      <xdr:rowOff>112058</xdr:rowOff>
    </xdr:from>
    <xdr:to>
      <xdr:col>3</xdr:col>
      <xdr:colOff>235323</xdr:colOff>
      <xdr:row>8</xdr:row>
      <xdr:rowOff>112058</xdr:rowOff>
    </xdr:to>
    <xdr:cxnSp macro="">
      <xdr:nvCxnSpPr>
        <xdr:cNvPr id="5" name="직선 화살표 연결선 4"/>
        <xdr:cNvCxnSpPr/>
      </xdr:nvCxnSpPr>
      <xdr:spPr>
        <a:xfrm>
          <a:off x="639856" y="205515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8</xdr:row>
      <xdr:rowOff>112058</xdr:rowOff>
    </xdr:from>
    <xdr:to>
      <xdr:col>6</xdr:col>
      <xdr:colOff>291352</xdr:colOff>
      <xdr:row>8</xdr:row>
      <xdr:rowOff>112058</xdr:rowOff>
    </xdr:to>
    <xdr:cxnSp macro="">
      <xdr:nvCxnSpPr>
        <xdr:cNvPr id="6" name="직선 화살표 연결선 5"/>
        <xdr:cNvCxnSpPr/>
      </xdr:nvCxnSpPr>
      <xdr:spPr>
        <a:xfrm>
          <a:off x="1638859" y="205515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8</xdr:row>
      <xdr:rowOff>112058</xdr:rowOff>
    </xdr:from>
    <xdr:to>
      <xdr:col>9</xdr:col>
      <xdr:colOff>257735</xdr:colOff>
      <xdr:row>8</xdr:row>
      <xdr:rowOff>112058</xdr:rowOff>
    </xdr:to>
    <xdr:cxnSp macro="">
      <xdr:nvCxnSpPr>
        <xdr:cNvPr id="7" name="직선 화살표 연결선 6"/>
        <xdr:cNvCxnSpPr/>
      </xdr:nvCxnSpPr>
      <xdr:spPr>
        <a:xfrm>
          <a:off x="2548217" y="205515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8</xdr:row>
      <xdr:rowOff>100852</xdr:rowOff>
    </xdr:from>
    <xdr:to>
      <xdr:col>12</xdr:col>
      <xdr:colOff>257735</xdr:colOff>
      <xdr:row>8</xdr:row>
      <xdr:rowOff>100852</xdr:rowOff>
    </xdr:to>
    <xdr:cxnSp macro="">
      <xdr:nvCxnSpPr>
        <xdr:cNvPr id="8" name="직선 화살표 연결선 7"/>
        <xdr:cNvCxnSpPr/>
      </xdr:nvCxnSpPr>
      <xdr:spPr>
        <a:xfrm>
          <a:off x="3491192" y="204395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8</xdr:row>
      <xdr:rowOff>100852</xdr:rowOff>
    </xdr:from>
    <xdr:to>
      <xdr:col>15</xdr:col>
      <xdr:colOff>257735</xdr:colOff>
      <xdr:row>8</xdr:row>
      <xdr:rowOff>100852</xdr:rowOff>
    </xdr:to>
    <xdr:cxnSp macro="">
      <xdr:nvCxnSpPr>
        <xdr:cNvPr id="9" name="직선 화살표 연결선 8"/>
        <xdr:cNvCxnSpPr/>
      </xdr:nvCxnSpPr>
      <xdr:spPr>
        <a:xfrm>
          <a:off x="4454898" y="204395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33618</xdr:colOff>
      <xdr:row>23</xdr:row>
      <xdr:rowOff>168089</xdr:rowOff>
    </xdr:from>
    <xdr:to>
      <xdr:col>22</xdr:col>
      <xdr:colOff>212912</xdr:colOff>
      <xdr:row>42</xdr:row>
      <xdr:rowOff>190500</xdr:rowOff>
    </xdr:to>
    <xdr:sp macro="" textlink="">
      <xdr:nvSpPr>
        <xdr:cNvPr id="3" name="TextBox 2"/>
        <xdr:cNvSpPr txBox="1"/>
      </xdr:nvSpPr>
      <xdr:spPr>
        <a:xfrm>
          <a:off x="33618" y="5759824"/>
          <a:ext cx="7104529" cy="431426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6600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탈수소 처리 </a:t>
          </a:r>
          <a:endParaRPr lang="en-US" altLang="ko-KR" sz="6600">
            <a:solidFill>
              <a:srgbClr val="FF0000"/>
            </a:solidFill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endParaRPr lang="en-US" altLang="ko-KR" sz="1100"/>
        </a:p>
        <a:p>
          <a:r>
            <a:rPr lang="en-US" altLang="ko-KR" sz="1100"/>
            <a:t> </a:t>
          </a:r>
          <a:r>
            <a:rPr lang="en-US" altLang="ko-KR" sz="1600">
              <a:latin typeface="HY헤드라인M" panose="02030600000101010101" pitchFamily="18" charset="-127"/>
              <a:ea typeface="HY헤드라인M" panose="02030600000101010101" pitchFamily="18" charset="-127"/>
            </a:rPr>
            <a:t>① [P32R]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PAWL PARKING BRAKE </a:t>
          </a: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 =&gt;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도면규정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140℃ x 60 min </a:t>
          </a: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 =&gt; 140℃ x 90min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진행</a:t>
          </a:r>
          <a:endParaRPr lang="en-US" altLang="ko-KR" sz="1600" baseline="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[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제품크기 및 겹침부로 인한 시간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30min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상향 적용함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]</a:t>
          </a:r>
        </a:p>
        <a:p>
          <a:endParaRPr lang="en-US" altLang="ko-KR" sz="1600" baseline="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endParaRPr lang="en-US" altLang="ko-KR" sz="1600" baseline="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② [MQ4] LEVER,PAWL,SECTOR OB,IB</a:t>
          </a: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 =&gt; SAE/USCAR-5 (re.1)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규정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115℃ </a:t>
          </a:r>
          <a:r>
            <a:rPr lang="en-US" altLang="ko-KR" sz="1600" baseline="0">
              <a:latin typeface="굴림" panose="020B0600000101010101" pitchFamily="50" charset="-127"/>
              <a:ea typeface="굴림" panose="020B0600000101010101" pitchFamily="50" charset="-127"/>
            </a:rPr>
            <a:t>± 5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℃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에 최소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60min </a:t>
          </a:r>
        </a:p>
        <a:p>
          <a:r>
            <a:rPr lang="ko-KR" altLang="en-US" sz="1600" b="1">
              <a:latin typeface="HY헤드라인M" panose="02030600000101010101" pitchFamily="18" charset="-127"/>
              <a:ea typeface="HY헤드라인M" panose="02030600000101010101" pitchFamily="18" charset="-127"/>
            </a:rPr>
            <a:t>     </a:t>
          </a:r>
          <a:r>
            <a:rPr lang="en-US" altLang="ko-KR" sz="1600" b="1" baseline="0">
              <a:latin typeface="HY헤드라인M" panose="02030600000101010101" pitchFamily="18" charset="-127"/>
              <a:ea typeface="HY헤드라인M" panose="02030600000101010101" pitchFamily="18" charset="-127"/>
            </a:rPr>
            <a:t>=&gt;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115℃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x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90min 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진행</a:t>
          </a:r>
          <a:endParaRPr lang="en-US" altLang="ko-KR" sz="1600" b="0" baseline="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[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제품크기 및 겹침부로 인한 시간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30min 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상향 적용함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]</a:t>
          </a:r>
          <a:endParaRPr lang="ko-KR" altLang="en-US" sz="1600" b="0"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xdr:twoCellAnchor editAs="oneCell">
    <xdr:from>
      <xdr:col>0</xdr:col>
      <xdr:colOff>156882</xdr:colOff>
      <xdr:row>21</xdr:row>
      <xdr:rowOff>100853</xdr:rowOff>
    </xdr:from>
    <xdr:to>
      <xdr:col>2</xdr:col>
      <xdr:colOff>187802</xdr:colOff>
      <xdr:row>24</xdr:row>
      <xdr:rowOff>89647</xdr:rowOff>
    </xdr:to>
    <xdr:pic>
      <xdr:nvPicPr>
        <xdr:cNvPr id="10" name="Picture 41" descr="중보마크-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" y="5255559"/>
          <a:ext cx="658449" cy="6387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11206</xdr:colOff>
      <xdr:row>8</xdr:row>
      <xdr:rowOff>112058</xdr:rowOff>
    </xdr:from>
    <xdr:to>
      <xdr:col>3</xdr:col>
      <xdr:colOff>235323</xdr:colOff>
      <xdr:row>8</xdr:row>
      <xdr:rowOff>112058</xdr:rowOff>
    </xdr:to>
    <xdr:cxnSp macro="">
      <xdr:nvCxnSpPr>
        <xdr:cNvPr id="2" name="직선 화살표 연결선 1"/>
        <xdr:cNvCxnSpPr/>
      </xdr:nvCxnSpPr>
      <xdr:spPr>
        <a:xfrm>
          <a:off x="639856" y="205515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8</xdr:row>
      <xdr:rowOff>112058</xdr:rowOff>
    </xdr:from>
    <xdr:to>
      <xdr:col>6</xdr:col>
      <xdr:colOff>291352</xdr:colOff>
      <xdr:row>8</xdr:row>
      <xdr:rowOff>112058</xdr:rowOff>
    </xdr:to>
    <xdr:cxnSp macro="">
      <xdr:nvCxnSpPr>
        <xdr:cNvPr id="3" name="직선 화살표 연결선 2"/>
        <xdr:cNvCxnSpPr/>
      </xdr:nvCxnSpPr>
      <xdr:spPr>
        <a:xfrm>
          <a:off x="1638859" y="205515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8</xdr:row>
      <xdr:rowOff>112058</xdr:rowOff>
    </xdr:from>
    <xdr:to>
      <xdr:col>9</xdr:col>
      <xdr:colOff>257735</xdr:colOff>
      <xdr:row>8</xdr:row>
      <xdr:rowOff>112058</xdr:rowOff>
    </xdr:to>
    <xdr:cxnSp macro="">
      <xdr:nvCxnSpPr>
        <xdr:cNvPr id="4" name="직선 화살표 연결선 3"/>
        <xdr:cNvCxnSpPr/>
      </xdr:nvCxnSpPr>
      <xdr:spPr>
        <a:xfrm>
          <a:off x="2548217" y="205515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8</xdr:row>
      <xdr:rowOff>100852</xdr:rowOff>
    </xdr:from>
    <xdr:to>
      <xdr:col>12</xdr:col>
      <xdr:colOff>257735</xdr:colOff>
      <xdr:row>8</xdr:row>
      <xdr:rowOff>100852</xdr:rowOff>
    </xdr:to>
    <xdr:cxnSp macro="">
      <xdr:nvCxnSpPr>
        <xdr:cNvPr id="5" name="직선 화살표 연결선 4"/>
        <xdr:cNvCxnSpPr/>
      </xdr:nvCxnSpPr>
      <xdr:spPr>
        <a:xfrm>
          <a:off x="3491192" y="204395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8</xdr:row>
      <xdr:rowOff>100852</xdr:rowOff>
    </xdr:from>
    <xdr:to>
      <xdr:col>15</xdr:col>
      <xdr:colOff>257735</xdr:colOff>
      <xdr:row>8</xdr:row>
      <xdr:rowOff>100852</xdr:rowOff>
    </xdr:to>
    <xdr:cxnSp macro="">
      <xdr:nvCxnSpPr>
        <xdr:cNvPr id="6" name="직선 화살표 연결선 5"/>
        <xdr:cNvCxnSpPr/>
      </xdr:nvCxnSpPr>
      <xdr:spPr>
        <a:xfrm>
          <a:off x="4454898" y="204395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33618</xdr:colOff>
      <xdr:row>23</xdr:row>
      <xdr:rowOff>168089</xdr:rowOff>
    </xdr:from>
    <xdr:to>
      <xdr:col>22</xdr:col>
      <xdr:colOff>212912</xdr:colOff>
      <xdr:row>42</xdr:row>
      <xdr:rowOff>190500</xdr:rowOff>
    </xdr:to>
    <xdr:sp macro="" textlink="">
      <xdr:nvSpPr>
        <xdr:cNvPr id="7" name="TextBox 6"/>
        <xdr:cNvSpPr txBox="1"/>
      </xdr:nvSpPr>
      <xdr:spPr>
        <a:xfrm>
          <a:off x="33618" y="5730689"/>
          <a:ext cx="7113494" cy="42800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6600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탈수소 처리 </a:t>
          </a:r>
          <a:endParaRPr lang="en-US" altLang="ko-KR" sz="6600">
            <a:solidFill>
              <a:srgbClr val="FF0000"/>
            </a:solidFill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endParaRPr lang="en-US" altLang="ko-KR" sz="1100"/>
        </a:p>
        <a:p>
          <a:r>
            <a:rPr lang="en-US" altLang="ko-KR" sz="1100"/>
            <a:t> </a:t>
          </a:r>
          <a:r>
            <a:rPr lang="en-US" altLang="ko-KR" sz="1600">
              <a:latin typeface="HY헤드라인M" panose="02030600000101010101" pitchFamily="18" charset="-127"/>
              <a:ea typeface="HY헤드라인M" panose="02030600000101010101" pitchFamily="18" charset="-127"/>
            </a:rPr>
            <a:t>① [P32R]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PAWL PARKING BRAKE </a:t>
          </a: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 =&gt;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도면규정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140℃ x 60 min </a:t>
          </a: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 =&gt; 140℃ x 90min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진행</a:t>
          </a:r>
          <a:endParaRPr lang="en-US" altLang="ko-KR" sz="1600" baseline="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[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제품크기 및 겹침부로 인한 시간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30min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상향 적용함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]</a:t>
          </a:r>
        </a:p>
        <a:p>
          <a:endParaRPr lang="en-US" altLang="ko-KR" sz="1600" baseline="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endParaRPr lang="en-US" altLang="ko-KR" sz="1600" baseline="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② [MQ4] LEVER,PAWL,SECTOR OB,IB</a:t>
          </a:r>
        </a:p>
        <a:p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 =&gt; SAE/USCAR-5 (re.1) 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규정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115℃ </a:t>
          </a:r>
          <a:r>
            <a:rPr lang="en-US" altLang="ko-KR" sz="1600" baseline="0">
              <a:latin typeface="굴림" panose="020B0600000101010101" pitchFamily="50" charset="-127"/>
              <a:ea typeface="굴림" panose="020B0600000101010101" pitchFamily="50" charset="-127"/>
            </a:rPr>
            <a:t>± 5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℃</a:t>
          </a:r>
          <a:r>
            <a:rPr lang="ko-KR" altLang="en-US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에 최소 </a:t>
          </a:r>
          <a:r>
            <a:rPr lang="en-US" altLang="ko-KR" sz="160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60min </a:t>
          </a:r>
        </a:p>
        <a:p>
          <a:r>
            <a:rPr lang="ko-KR" altLang="en-US" sz="1600" b="1">
              <a:latin typeface="HY헤드라인M" panose="02030600000101010101" pitchFamily="18" charset="-127"/>
              <a:ea typeface="HY헤드라인M" panose="02030600000101010101" pitchFamily="18" charset="-127"/>
            </a:rPr>
            <a:t>     </a:t>
          </a:r>
          <a:r>
            <a:rPr lang="en-US" altLang="ko-KR" sz="1600" b="1" baseline="0">
              <a:latin typeface="HY헤드라인M" panose="02030600000101010101" pitchFamily="18" charset="-127"/>
              <a:ea typeface="HY헤드라인M" panose="02030600000101010101" pitchFamily="18" charset="-127"/>
            </a:rPr>
            <a:t>=&gt;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115℃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x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90min 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진행</a:t>
          </a:r>
          <a:endParaRPr lang="en-US" altLang="ko-KR" sz="1600" b="0" baseline="0">
            <a:latin typeface="HY헤드라인M" panose="02030600000101010101" pitchFamily="18" charset="-127"/>
            <a:ea typeface="HY헤드라인M" panose="02030600000101010101" pitchFamily="18" charset="-127"/>
          </a:endParaRPr>
        </a:p>
        <a:p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   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[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제품크기 및 겹침부로 인한 시간 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30min </a:t>
          </a:r>
          <a:r>
            <a:rPr lang="ko-KR" altLang="en-US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상향 적용함</a:t>
          </a:r>
          <a:r>
            <a:rPr lang="en-US" altLang="ko-KR" sz="1600" b="0" baseline="0">
              <a:latin typeface="HY헤드라인M" panose="02030600000101010101" pitchFamily="18" charset="-127"/>
              <a:ea typeface="HY헤드라인M" panose="02030600000101010101" pitchFamily="18" charset="-127"/>
            </a:rPr>
            <a:t>]</a:t>
          </a:r>
          <a:endParaRPr lang="ko-KR" altLang="en-US" sz="1600" b="0"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xdr:twoCellAnchor editAs="oneCell">
    <xdr:from>
      <xdr:col>0</xdr:col>
      <xdr:colOff>156882</xdr:colOff>
      <xdr:row>21</xdr:row>
      <xdr:rowOff>100853</xdr:rowOff>
    </xdr:from>
    <xdr:to>
      <xdr:col>2</xdr:col>
      <xdr:colOff>187802</xdr:colOff>
      <xdr:row>24</xdr:row>
      <xdr:rowOff>89647</xdr:rowOff>
    </xdr:to>
    <xdr:pic>
      <xdr:nvPicPr>
        <xdr:cNvPr id="8" name="Picture 41" descr="중보마크-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82" y="5234828"/>
          <a:ext cx="659570" cy="6269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4" name="타원 3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6" name="타원 5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7" name="타원 6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57149</xdr:colOff>
      <xdr:row>6</xdr:row>
      <xdr:rowOff>46504</xdr:rowOff>
    </xdr:from>
    <xdr:to>
      <xdr:col>2</xdr:col>
      <xdr:colOff>268942</xdr:colOff>
      <xdr:row>7</xdr:row>
      <xdr:rowOff>190500</xdr:rowOff>
    </xdr:to>
    <xdr:sp macro="" textlink="">
      <xdr:nvSpPr>
        <xdr:cNvPr id="8" name="타원 7"/>
        <xdr:cNvSpPr/>
      </xdr:nvSpPr>
      <xdr:spPr>
        <a:xfrm>
          <a:off x="371474" y="1570504"/>
          <a:ext cx="526118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11" name="직선 화살표 연결선 10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2" name="직선 화살표 연결선 11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3" name="직선 화살표 연결선 12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4" name="직선 화살표 연결선 13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201707</xdr:colOff>
      <xdr:row>9</xdr:row>
      <xdr:rowOff>156883</xdr:rowOff>
    </xdr:from>
    <xdr:to>
      <xdr:col>20</xdr:col>
      <xdr:colOff>134470</xdr:colOff>
      <xdr:row>11</xdr:row>
      <xdr:rowOff>20732</xdr:rowOff>
    </xdr:to>
    <xdr:sp macro="" textlink="">
      <xdr:nvSpPr>
        <xdr:cNvPr id="19" name="타원 18"/>
        <xdr:cNvSpPr/>
      </xdr:nvSpPr>
      <xdr:spPr>
        <a:xfrm>
          <a:off x="5244354" y="2319618"/>
          <a:ext cx="1187822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89651</xdr:colOff>
      <xdr:row>35</xdr:row>
      <xdr:rowOff>67233</xdr:rowOff>
    </xdr:from>
    <xdr:to>
      <xdr:col>12</xdr:col>
      <xdr:colOff>268943</xdr:colOff>
      <xdr:row>47</xdr:row>
      <xdr:rowOff>268942</xdr:rowOff>
    </xdr:to>
    <xdr:grpSp>
      <xdr:nvGrpSpPr>
        <xdr:cNvPr id="20" name="그룹 4"/>
        <xdr:cNvGrpSpPr>
          <a:grpSpLocks/>
        </xdr:cNvGrpSpPr>
      </xdr:nvGrpSpPr>
      <xdr:grpSpPr bwMode="auto">
        <a:xfrm>
          <a:off x="89651" y="7788086"/>
          <a:ext cx="3944468" cy="3081621"/>
          <a:chOff x="4961282" y="2200267"/>
          <a:chExt cx="2219740" cy="1222520"/>
        </a:xfrm>
      </xdr:grpSpPr>
      <xdr:pic>
        <xdr:nvPicPr>
          <xdr:cNvPr id="21" name="그림 20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61282" y="2277718"/>
            <a:ext cx="2219740" cy="114506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2" name="Line 43"/>
          <xdr:cNvSpPr>
            <a:spLocks noChangeShapeType="1"/>
          </xdr:cNvSpPr>
        </xdr:nvSpPr>
        <xdr:spPr bwMode="auto">
          <a:xfrm flipH="1" flipV="1">
            <a:off x="5171657" y="3263346"/>
            <a:ext cx="1752604" cy="24849"/>
          </a:xfrm>
          <a:prstGeom prst="line">
            <a:avLst/>
          </a:prstGeom>
          <a:noFill/>
          <a:ln w="38100">
            <a:solidFill>
              <a:srgbClr val="FFFF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Text Box 53"/>
          <xdr:cNvSpPr txBox="1">
            <a:spLocks noChangeArrowheads="1"/>
          </xdr:cNvSpPr>
        </xdr:nvSpPr>
        <xdr:spPr bwMode="auto">
          <a:xfrm>
            <a:off x="5608951" y="3041097"/>
            <a:ext cx="753652" cy="17934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en-US" altLang="ko-KR" sz="11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2TRAY</a:t>
            </a:r>
            <a:endParaRPr lang="ko-KR" altLang="en-US" sz="1100" b="1" i="0" u="none" strike="noStrike" baseline="0">
              <a:solidFill>
                <a:srgbClr val="000000"/>
              </a:solidFill>
              <a:latin typeface="돋움"/>
              <a:ea typeface="돋움"/>
            </a:endParaRPr>
          </a:p>
        </xdr:txBody>
      </xdr:sp>
      <xdr:sp macro="" textlink="">
        <xdr:nvSpPr>
          <xdr:cNvPr id="24" name="Line 43"/>
          <xdr:cNvSpPr>
            <a:spLocks noChangeShapeType="1"/>
          </xdr:cNvSpPr>
        </xdr:nvSpPr>
        <xdr:spPr bwMode="auto">
          <a:xfrm>
            <a:off x="6990520" y="2310847"/>
            <a:ext cx="1" cy="944218"/>
          </a:xfrm>
          <a:prstGeom prst="line">
            <a:avLst/>
          </a:prstGeom>
          <a:noFill/>
          <a:ln w="38100">
            <a:solidFill>
              <a:srgbClr val="FFFF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5" name="Text Box 44"/>
          <xdr:cNvSpPr txBox="1">
            <a:spLocks noChangeArrowheads="1"/>
          </xdr:cNvSpPr>
        </xdr:nvSpPr>
        <xdr:spPr bwMode="auto">
          <a:xfrm>
            <a:off x="6185966" y="2682401"/>
            <a:ext cx="747764" cy="206940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lnSpc>
                <a:spcPts val="1100"/>
              </a:lnSpc>
              <a:defRPr sz="1000"/>
            </a:pPr>
            <a:r>
              <a:rPr lang="en-US" altLang="ko-KR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9</a:t>
            </a:r>
            <a:r>
              <a:rPr lang="ko-KR" altLang="en-US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단</a:t>
            </a:r>
            <a:endParaRPr lang="en-US" altLang="ko-KR" sz="900" b="1" i="0" u="none" strike="noStrike" baseline="0">
              <a:solidFill>
                <a:srgbClr val="000000"/>
              </a:solidFill>
              <a:latin typeface="돋움"/>
              <a:ea typeface="돋움"/>
            </a:endParaRPr>
          </a:p>
          <a:p>
            <a:pPr algn="ctr" rtl="0">
              <a:lnSpc>
                <a:spcPts val="1000"/>
              </a:lnSpc>
              <a:defRPr sz="1000"/>
            </a:pPr>
            <a:r>
              <a:rPr lang="en-US" altLang="ko-KR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(MAX 10</a:t>
            </a:r>
            <a:r>
              <a:rPr lang="ko-KR" altLang="en-US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단</a:t>
            </a:r>
            <a:r>
              <a:rPr lang="en-US" altLang="ko-KR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)</a:t>
            </a:r>
            <a:endParaRPr lang="ko-KR" altLang="en-US" sz="900" b="1" i="0" u="none" strike="noStrike" baseline="0">
              <a:solidFill>
                <a:srgbClr val="000000"/>
              </a:solidFill>
              <a:latin typeface="돋움"/>
              <a:ea typeface="돋움"/>
            </a:endParaRPr>
          </a:p>
        </xdr:txBody>
      </xdr:sp>
      <xdr:sp macro="" textlink="">
        <xdr:nvSpPr>
          <xdr:cNvPr id="26" name="Text Box 53"/>
          <xdr:cNvSpPr txBox="1">
            <a:spLocks noChangeArrowheads="1"/>
          </xdr:cNvSpPr>
        </xdr:nvSpPr>
        <xdr:spPr bwMode="auto">
          <a:xfrm>
            <a:off x="5245831" y="2200267"/>
            <a:ext cx="1613580" cy="204493"/>
          </a:xfrm>
          <a:prstGeom prst="rect">
            <a:avLst/>
          </a:prstGeom>
          <a:solidFill>
            <a:schemeClr val="bg1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48EA *</a:t>
            </a:r>
            <a:r>
              <a:rPr lang="ko-KR" altLang="en-US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 </a:t>
            </a: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10bar * 2tray * 9</a:t>
            </a:r>
            <a:r>
              <a:rPr lang="ko-KR" altLang="en-US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단 </a:t>
            </a: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= 8,640ea </a:t>
            </a:r>
          </a:p>
          <a:p>
            <a:pPr algn="ctr" rtl="0">
              <a:defRPr sz="1000"/>
            </a:pP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[MAX 10</a:t>
            </a:r>
            <a:r>
              <a:rPr lang="ko-KR" altLang="en-US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단 </a:t>
            </a: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9,600ea] </a:t>
            </a:r>
            <a:endParaRPr lang="ko-KR" altLang="en-US" sz="1100" b="1" i="0" u="none" strike="noStrike" baseline="0">
              <a:solidFill>
                <a:srgbClr val="FF0000"/>
              </a:solidFill>
              <a:latin typeface="돋움"/>
              <a:ea typeface="돋움"/>
            </a:endParaRPr>
          </a:p>
        </xdr:txBody>
      </xdr:sp>
    </xdr:grpSp>
    <xdr:clientData/>
  </xdr:twoCellAnchor>
  <xdr:oneCellAnchor>
    <xdr:from>
      <xdr:col>1</xdr:col>
      <xdr:colOff>168090</xdr:colOff>
      <xdr:row>27</xdr:row>
      <xdr:rowOff>22412</xdr:rowOff>
    </xdr:from>
    <xdr:ext cx="403972" cy="387164"/>
    <xdr:pic>
      <xdr:nvPicPr>
        <xdr:cNvPr id="32" name="Picture 41" descr="중보마크-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855" y="6039971"/>
          <a:ext cx="403972" cy="3871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13</xdr:col>
      <xdr:colOff>34737</xdr:colOff>
      <xdr:row>6</xdr:row>
      <xdr:rowOff>46504</xdr:rowOff>
    </xdr:from>
    <xdr:to>
      <xdr:col>14</xdr:col>
      <xdr:colOff>235323</xdr:colOff>
      <xdr:row>7</xdr:row>
      <xdr:rowOff>190500</xdr:rowOff>
    </xdr:to>
    <xdr:sp macro="" textlink="">
      <xdr:nvSpPr>
        <xdr:cNvPr id="27" name="타원 26"/>
        <xdr:cNvSpPr/>
      </xdr:nvSpPr>
      <xdr:spPr>
        <a:xfrm>
          <a:off x="4113678" y="1570504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45943</xdr:colOff>
      <xdr:row>6</xdr:row>
      <xdr:rowOff>35298</xdr:rowOff>
    </xdr:from>
    <xdr:to>
      <xdr:col>17</xdr:col>
      <xdr:colOff>257735</xdr:colOff>
      <xdr:row>7</xdr:row>
      <xdr:rowOff>179294</xdr:rowOff>
    </xdr:to>
    <xdr:sp macro="" textlink="">
      <xdr:nvSpPr>
        <xdr:cNvPr id="28" name="타원 27"/>
        <xdr:cNvSpPr/>
      </xdr:nvSpPr>
      <xdr:spPr>
        <a:xfrm>
          <a:off x="5088590" y="1559298"/>
          <a:ext cx="525557" cy="356908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14</xdr:col>
      <xdr:colOff>280147</xdr:colOff>
      <xdr:row>32</xdr:row>
      <xdr:rowOff>67238</xdr:rowOff>
    </xdr:from>
    <xdr:to>
      <xdr:col>20</xdr:col>
      <xdr:colOff>303929</xdr:colOff>
      <xdr:row>38</xdr:row>
      <xdr:rowOff>123265</xdr:rowOff>
    </xdr:to>
    <xdr:pic>
      <xdr:nvPicPr>
        <xdr:cNvPr id="29" name="그림 2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0222" y="7077638"/>
          <a:ext cx="1919257" cy="1294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246530</xdr:colOff>
      <xdr:row>45</xdr:row>
      <xdr:rowOff>22412</xdr:rowOff>
    </xdr:from>
    <xdr:to>
      <xdr:col>21</xdr:col>
      <xdr:colOff>246529</xdr:colOff>
      <xdr:row>47</xdr:row>
      <xdr:rowOff>280147</xdr:rowOff>
    </xdr:to>
    <xdr:grpSp>
      <xdr:nvGrpSpPr>
        <xdr:cNvPr id="30" name="그룹 29"/>
        <xdr:cNvGrpSpPr/>
      </xdr:nvGrpSpPr>
      <xdr:grpSpPr>
        <a:xfrm>
          <a:off x="4975412" y="9995647"/>
          <a:ext cx="1882588" cy="885265"/>
          <a:chOff x="342901" y="2063354"/>
          <a:chExt cx="1604591" cy="1343024"/>
        </a:xfrm>
      </xdr:grpSpPr>
      <xdr:pic>
        <xdr:nvPicPr>
          <xdr:cNvPr id="31" name="그림 30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33" name="그룹 32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42" name="타원 41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3" name="타원 42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4" name="타원 43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4" name="그룹 33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39" name="타원 38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0" name="타원 39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1" name="타원 40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5" name="그룹 34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36" name="타원 3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7" name="타원 3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8" name="타원 3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306480</xdr:colOff>
      <xdr:row>22</xdr:row>
      <xdr:rowOff>210111</xdr:rowOff>
    </xdr:from>
    <xdr:to>
      <xdr:col>22</xdr:col>
      <xdr:colOff>11765</xdr:colOff>
      <xdr:row>22</xdr:row>
      <xdr:rowOff>210111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5983380" y="5105961"/>
          <a:ext cx="962585" cy="0"/>
        </a:xfrm>
        <a:prstGeom prst="line">
          <a:avLst/>
        </a:prstGeom>
        <a:noFill/>
        <a:ln w="9525">
          <a:solidFill>
            <a:srgbClr val="000000"/>
          </a:solidFill>
          <a:round/>
          <a:headEnd type="triangle" w="sm" len="med"/>
          <a:tailEnd type="triangle" w="sm" len="med"/>
        </a:ln>
      </xdr:spPr>
    </xdr:sp>
    <xdr:clientData/>
  </xdr:twoCellAnchor>
  <xdr:twoCellAnchor>
    <xdr:from>
      <xdr:col>11</xdr:col>
      <xdr:colOff>214031</xdr:colOff>
      <xdr:row>24</xdr:row>
      <xdr:rowOff>180975</xdr:rowOff>
    </xdr:from>
    <xdr:to>
      <xdr:col>13</xdr:col>
      <xdr:colOff>71717</xdr:colOff>
      <xdr:row>26</xdr:row>
      <xdr:rowOff>28575</xdr:rowOff>
    </xdr:to>
    <xdr:sp macro="" textlink="">
      <xdr:nvSpPr>
        <xdr:cNvPr id="3" name="타원 2"/>
        <xdr:cNvSpPr/>
      </xdr:nvSpPr>
      <xdr:spPr>
        <a:xfrm>
          <a:off x="3671606" y="5514975"/>
          <a:ext cx="486336" cy="26670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45943</xdr:colOff>
      <xdr:row>6</xdr:row>
      <xdr:rowOff>24092</xdr:rowOff>
    </xdr:from>
    <xdr:to>
      <xdr:col>5</xdr:col>
      <xdr:colOff>257735</xdr:colOff>
      <xdr:row>7</xdr:row>
      <xdr:rowOff>168088</xdr:rowOff>
    </xdr:to>
    <xdr:sp macro="" textlink="">
      <xdr:nvSpPr>
        <xdr:cNvPr id="4" name="타원 3"/>
        <xdr:cNvSpPr/>
      </xdr:nvSpPr>
      <xdr:spPr>
        <a:xfrm>
          <a:off x="130324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45943</xdr:colOff>
      <xdr:row>6</xdr:row>
      <xdr:rowOff>24092</xdr:rowOff>
    </xdr:from>
    <xdr:to>
      <xdr:col>8</xdr:col>
      <xdr:colOff>257735</xdr:colOff>
      <xdr:row>7</xdr:row>
      <xdr:rowOff>168088</xdr:rowOff>
    </xdr:to>
    <xdr:sp macro="" textlink="">
      <xdr:nvSpPr>
        <xdr:cNvPr id="5" name="타원 4"/>
        <xdr:cNvSpPr/>
      </xdr:nvSpPr>
      <xdr:spPr>
        <a:xfrm>
          <a:off x="2246218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45943</xdr:colOff>
      <xdr:row>6</xdr:row>
      <xdr:rowOff>24092</xdr:rowOff>
    </xdr:from>
    <xdr:to>
      <xdr:col>11</xdr:col>
      <xdr:colOff>257735</xdr:colOff>
      <xdr:row>7</xdr:row>
      <xdr:rowOff>168088</xdr:rowOff>
    </xdr:to>
    <xdr:sp macro="" textlink="">
      <xdr:nvSpPr>
        <xdr:cNvPr id="6" name="타원 5"/>
        <xdr:cNvSpPr/>
      </xdr:nvSpPr>
      <xdr:spPr>
        <a:xfrm>
          <a:off x="3189193" y="1548092"/>
          <a:ext cx="526117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57149</xdr:colOff>
      <xdr:row>6</xdr:row>
      <xdr:rowOff>46504</xdr:rowOff>
    </xdr:from>
    <xdr:to>
      <xdr:col>2</xdr:col>
      <xdr:colOff>268942</xdr:colOff>
      <xdr:row>7</xdr:row>
      <xdr:rowOff>190500</xdr:rowOff>
    </xdr:to>
    <xdr:sp macro="" textlink="">
      <xdr:nvSpPr>
        <xdr:cNvPr id="7" name="타원 6"/>
        <xdr:cNvSpPr/>
      </xdr:nvSpPr>
      <xdr:spPr>
        <a:xfrm>
          <a:off x="371474" y="1570504"/>
          <a:ext cx="526118" cy="353546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11206</xdr:colOff>
      <xdr:row>5</xdr:row>
      <xdr:rowOff>112058</xdr:rowOff>
    </xdr:from>
    <xdr:to>
      <xdr:col>3</xdr:col>
      <xdr:colOff>235323</xdr:colOff>
      <xdr:row>5</xdr:row>
      <xdr:rowOff>112058</xdr:rowOff>
    </xdr:to>
    <xdr:cxnSp macro="">
      <xdr:nvCxnSpPr>
        <xdr:cNvPr id="8" name="직선 화살표 연결선 7"/>
        <xdr:cNvCxnSpPr/>
      </xdr:nvCxnSpPr>
      <xdr:spPr>
        <a:xfrm>
          <a:off x="639856" y="1426508"/>
          <a:ext cx="53844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67234</xdr:colOff>
      <xdr:row>5</xdr:row>
      <xdr:rowOff>112058</xdr:rowOff>
    </xdr:from>
    <xdr:to>
      <xdr:col>6</xdr:col>
      <xdr:colOff>291352</xdr:colOff>
      <xdr:row>5</xdr:row>
      <xdr:rowOff>112058</xdr:rowOff>
    </xdr:to>
    <xdr:cxnSp macro="">
      <xdr:nvCxnSpPr>
        <xdr:cNvPr id="9" name="직선 화살표 연결선 8"/>
        <xdr:cNvCxnSpPr/>
      </xdr:nvCxnSpPr>
      <xdr:spPr>
        <a:xfrm>
          <a:off x="1638859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</xdr:colOff>
      <xdr:row>5</xdr:row>
      <xdr:rowOff>112058</xdr:rowOff>
    </xdr:from>
    <xdr:to>
      <xdr:col>9</xdr:col>
      <xdr:colOff>257735</xdr:colOff>
      <xdr:row>5</xdr:row>
      <xdr:rowOff>112058</xdr:rowOff>
    </xdr:to>
    <xdr:cxnSp macro="">
      <xdr:nvCxnSpPr>
        <xdr:cNvPr id="10" name="직선 화살표 연결선 9"/>
        <xdr:cNvCxnSpPr/>
      </xdr:nvCxnSpPr>
      <xdr:spPr>
        <a:xfrm>
          <a:off x="2548217" y="1426508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</xdr:colOff>
      <xdr:row>5</xdr:row>
      <xdr:rowOff>100852</xdr:rowOff>
    </xdr:from>
    <xdr:to>
      <xdr:col>12</xdr:col>
      <xdr:colOff>257735</xdr:colOff>
      <xdr:row>5</xdr:row>
      <xdr:rowOff>100852</xdr:rowOff>
    </xdr:to>
    <xdr:cxnSp macro="">
      <xdr:nvCxnSpPr>
        <xdr:cNvPr id="11" name="직선 화살표 연결선 10"/>
        <xdr:cNvCxnSpPr/>
      </xdr:nvCxnSpPr>
      <xdr:spPr>
        <a:xfrm>
          <a:off x="3491192" y="1415302"/>
          <a:ext cx="538443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44823</xdr:colOff>
      <xdr:row>5</xdr:row>
      <xdr:rowOff>100852</xdr:rowOff>
    </xdr:from>
    <xdr:to>
      <xdr:col>15</xdr:col>
      <xdr:colOff>257735</xdr:colOff>
      <xdr:row>5</xdr:row>
      <xdr:rowOff>100852</xdr:rowOff>
    </xdr:to>
    <xdr:cxnSp macro="">
      <xdr:nvCxnSpPr>
        <xdr:cNvPr id="12" name="직선 화살표 연결선 11"/>
        <xdr:cNvCxnSpPr/>
      </xdr:nvCxnSpPr>
      <xdr:spPr>
        <a:xfrm>
          <a:off x="4454898" y="1415302"/>
          <a:ext cx="536762" cy="0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201707</xdr:colOff>
      <xdr:row>9</xdr:row>
      <xdr:rowOff>156883</xdr:rowOff>
    </xdr:from>
    <xdr:to>
      <xdr:col>20</xdr:col>
      <xdr:colOff>134470</xdr:colOff>
      <xdr:row>11</xdr:row>
      <xdr:rowOff>20732</xdr:rowOff>
    </xdr:to>
    <xdr:sp macro="" textlink="">
      <xdr:nvSpPr>
        <xdr:cNvPr id="13" name="타원 12"/>
        <xdr:cNvSpPr/>
      </xdr:nvSpPr>
      <xdr:spPr>
        <a:xfrm>
          <a:off x="5249957" y="2309533"/>
          <a:ext cx="1190063" cy="359149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89651</xdr:colOff>
      <xdr:row>35</xdr:row>
      <xdr:rowOff>67233</xdr:rowOff>
    </xdr:from>
    <xdr:to>
      <xdr:col>12</xdr:col>
      <xdr:colOff>268943</xdr:colOff>
      <xdr:row>47</xdr:row>
      <xdr:rowOff>268942</xdr:rowOff>
    </xdr:to>
    <xdr:grpSp>
      <xdr:nvGrpSpPr>
        <xdr:cNvPr id="14" name="그룹 4"/>
        <xdr:cNvGrpSpPr>
          <a:grpSpLocks/>
        </xdr:cNvGrpSpPr>
      </xdr:nvGrpSpPr>
      <xdr:grpSpPr bwMode="auto">
        <a:xfrm>
          <a:off x="89651" y="7788086"/>
          <a:ext cx="3944468" cy="3081621"/>
          <a:chOff x="4961282" y="2200267"/>
          <a:chExt cx="2219740" cy="1222520"/>
        </a:xfrm>
      </xdr:grpSpPr>
      <xdr:pic>
        <xdr:nvPicPr>
          <xdr:cNvPr id="15" name="그림 14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61282" y="2277718"/>
            <a:ext cx="2219740" cy="114506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6" name="Line 43"/>
          <xdr:cNvSpPr>
            <a:spLocks noChangeShapeType="1"/>
          </xdr:cNvSpPr>
        </xdr:nvSpPr>
        <xdr:spPr bwMode="auto">
          <a:xfrm flipH="1" flipV="1">
            <a:off x="5171657" y="3263346"/>
            <a:ext cx="1752604" cy="24849"/>
          </a:xfrm>
          <a:prstGeom prst="line">
            <a:avLst/>
          </a:prstGeom>
          <a:noFill/>
          <a:ln w="38100">
            <a:solidFill>
              <a:srgbClr val="FFFF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Text Box 53"/>
          <xdr:cNvSpPr txBox="1">
            <a:spLocks noChangeArrowheads="1"/>
          </xdr:cNvSpPr>
        </xdr:nvSpPr>
        <xdr:spPr bwMode="auto">
          <a:xfrm>
            <a:off x="5608951" y="3041097"/>
            <a:ext cx="753652" cy="179348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en-US" altLang="ko-KR" sz="11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2TRAY</a:t>
            </a:r>
            <a:endParaRPr lang="ko-KR" altLang="en-US" sz="1100" b="1" i="0" u="none" strike="noStrike" baseline="0">
              <a:solidFill>
                <a:srgbClr val="000000"/>
              </a:solidFill>
              <a:latin typeface="돋움"/>
              <a:ea typeface="돋움"/>
            </a:endParaRPr>
          </a:p>
        </xdr:txBody>
      </xdr:sp>
      <xdr:sp macro="" textlink="">
        <xdr:nvSpPr>
          <xdr:cNvPr id="18" name="Line 43"/>
          <xdr:cNvSpPr>
            <a:spLocks noChangeShapeType="1"/>
          </xdr:cNvSpPr>
        </xdr:nvSpPr>
        <xdr:spPr bwMode="auto">
          <a:xfrm>
            <a:off x="6990520" y="2310847"/>
            <a:ext cx="1" cy="944218"/>
          </a:xfrm>
          <a:prstGeom prst="line">
            <a:avLst/>
          </a:prstGeom>
          <a:noFill/>
          <a:ln w="38100">
            <a:solidFill>
              <a:srgbClr val="FFFF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Text Box 44"/>
          <xdr:cNvSpPr txBox="1">
            <a:spLocks noChangeArrowheads="1"/>
          </xdr:cNvSpPr>
        </xdr:nvSpPr>
        <xdr:spPr bwMode="auto">
          <a:xfrm>
            <a:off x="6185966" y="2682401"/>
            <a:ext cx="747764" cy="206940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lnSpc>
                <a:spcPts val="1100"/>
              </a:lnSpc>
              <a:defRPr sz="1000"/>
            </a:pPr>
            <a:r>
              <a:rPr lang="en-US" altLang="ko-KR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9</a:t>
            </a:r>
            <a:r>
              <a:rPr lang="ko-KR" altLang="en-US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단</a:t>
            </a:r>
            <a:endParaRPr lang="en-US" altLang="ko-KR" sz="900" b="1" i="0" u="none" strike="noStrike" baseline="0">
              <a:solidFill>
                <a:srgbClr val="000000"/>
              </a:solidFill>
              <a:latin typeface="돋움"/>
              <a:ea typeface="돋움"/>
            </a:endParaRPr>
          </a:p>
          <a:p>
            <a:pPr algn="ctr" rtl="0">
              <a:lnSpc>
                <a:spcPts val="1000"/>
              </a:lnSpc>
              <a:defRPr sz="1000"/>
            </a:pPr>
            <a:r>
              <a:rPr lang="en-US" altLang="ko-KR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(MAX 10</a:t>
            </a:r>
            <a:r>
              <a:rPr lang="ko-KR" altLang="en-US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단</a:t>
            </a:r>
            <a:r>
              <a:rPr lang="en-US" altLang="ko-KR" sz="900" b="1" i="0" u="none" strike="noStrike" baseline="0">
                <a:solidFill>
                  <a:srgbClr val="000000"/>
                </a:solidFill>
                <a:latin typeface="돋움"/>
                <a:ea typeface="돋움"/>
              </a:rPr>
              <a:t>)</a:t>
            </a:r>
            <a:endParaRPr lang="ko-KR" altLang="en-US" sz="900" b="1" i="0" u="none" strike="noStrike" baseline="0">
              <a:solidFill>
                <a:srgbClr val="000000"/>
              </a:solidFill>
              <a:latin typeface="돋움"/>
              <a:ea typeface="돋움"/>
            </a:endParaRPr>
          </a:p>
        </xdr:txBody>
      </xdr:sp>
      <xdr:sp macro="" textlink="">
        <xdr:nvSpPr>
          <xdr:cNvPr id="20" name="Text Box 53"/>
          <xdr:cNvSpPr txBox="1">
            <a:spLocks noChangeArrowheads="1"/>
          </xdr:cNvSpPr>
        </xdr:nvSpPr>
        <xdr:spPr bwMode="auto">
          <a:xfrm>
            <a:off x="5245831" y="2200267"/>
            <a:ext cx="1613580" cy="204493"/>
          </a:xfrm>
          <a:prstGeom prst="rect">
            <a:avLst/>
          </a:prstGeom>
          <a:solidFill>
            <a:schemeClr val="bg1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36576" tIns="18288" rIns="36576" bIns="18288" anchor="ctr" upright="1"/>
          <a:lstStyle/>
          <a:p>
            <a:pPr algn="ctr" rtl="0">
              <a:defRPr sz="1000"/>
            </a:pP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48EA *</a:t>
            </a:r>
            <a:r>
              <a:rPr lang="ko-KR" altLang="en-US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 </a:t>
            </a: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13bar * 2tray * 9</a:t>
            </a:r>
            <a:r>
              <a:rPr lang="ko-KR" altLang="en-US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단 </a:t>
            </a: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= 11,232EA </a:t>
            </a:r>
          </a:p>
          <a:p>
            <a:pPr algn="ctr" rtl="0">
              <a:defRPr sz="1000"/>
            </a:pP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[MAX 10</a:t>
            </a:r>
            <a:r>
              <a:rPr lang="ko-KR" altLang="en-US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단 </a:t>
            </a:r>
            <a:r>
              <a:rPr lang="en-US" altLang="ko-KR" sz="1100" b="1" i="0" u="none" strike="noStrike" baseline="0">
                <a:solidFill>
                  <a:srgbClr val="FF0000"/>
                </a:solidFill>
                <a:latin typeface="돋움"/>
                <a:ea typeface="돋움"/>
              </a:rPr>
              <a:t> 12,480EA] </a:t>
            </a:r>
            <a:endParaRPr lang="ko-KR" altLang="en-US" sz="1100" b="1" i="0" u="none" strike="noStrike" baseline="0">
              <a:solidFill>
                <a:srgbClr val="FF0000"/>
              </a:solidFill>
              <a:latin typeface="돋움"/>
              <a:ea typeface="돋움"/>
            </a:endParaRPr>
          </a:p>
        </xdr:txBody>
      </xdr:sp>
    </xdr:grpSp>
    <xdr:clientData/>
  </xdr:twoCellAnchor>
  <xdr:oneCellAnchor>
    <xdr:from>
      <xdr:col>1</xdr:col>
      <xdr:colOff>168090</xdr:colOff>
      <xdr:row>27</xdr:row>
      <xdr:rowOff>22412</xdr:rowOff>
    </xdr:from>
    <xdr:ext cx="403972" cy="387164"/>
    <xdr:pic>
      <xdr:nvPicPr>
        <xdr:cNvPr id="23" name="Picture 41" descr="중보마크-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415" y="5985062"/>
          <a:ext cx="403972" cy="3871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14</xdr:col>
      <xdr:colOff>280147</xdr:colOff>
      <xdr:row>32</xdr:row>
      <xdr:rowOff>67238</xdr:rowOff>
    </xdr:from>
    <xdr:to>
      <xdr:col>20</xdr:col>
      <xdr:colOff>303929</xdr:colOff>
      <xdr:row>38</xdr:row>
      <xdr:rowOff>123265</xdr:rowOff>
    </xdr:to>
    <xdr:pic>
      <xdr:nvPicPr>
        <xdr:cNvPr id="24" name="그림 2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0222" y="7077638"/>
          <a:ext cx="1919257" cy="1294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246530</xdr:colOff>
      <xdr:row>45</xdr:row>
      <xdr:rowOff>22412</xdr:rowOff>
    </xdr:from>
    <xdr:to>
      <xdr:col>21</xdr:col>
      <xdr:colOff>246529</xdr:colOff>
      <xdr:row>47</xdr:row>
      <xdr:rowOff>280147</xdr:rowOff>
    </xdr:to>
    <xdr:grpSp>
      <xdr:nvGrpSpPr>
        <xdr:cNvPr id="25" name="그룹 24"/>
        <xdr:cNvGrpSpPr/>
      </xdr:nvGrpSpPr>
      <xdr:grpSpPr>
        <a:xfrm>
          <a:off x="4975412" y="9995647"/>
          <a:ext cx="1882588" cy="885265"/>
          <a:chOff x="342901" y="2063354"/>
          <a:chExt cx="1604591" cy="1343024"/>
        </a:xfrm>
      </xdr:grpSpPr>
      <xdr:pic>
        <xdr:nvPicPr>
          <xdr:cNvPr id="26" name="그림 2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2901" y="2063354"/>
            <a:ext cx="1604591" cy="13430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27" name="그룹 26"/>
          <xdr:cNvGrpSpPr/>
        </xdr:nvGrpSpPr>
        <xdr:grpSpPr>
          <a:xfrm>
            <a:off x="541735" y="2152650"/>
            <a:ext cx="1194197" cy="208360"/>
            <a:chOff x="541735" y="2152650"/>
            <a:chExt cx="1194197" cy="208360"/>
          </a:xfrm>
        </xdr:grpSpPr>
        <xdr:sp macro="" textlink="">
          <xdr:nvSpPr>
            <xdr:cNvPr id="36" name="타원 35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1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7" name="타원 36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2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8" name="타원 37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3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8" name="그룹 27"/>
          <xdr:cNvGrpSpPr/>
        </xdr:nvGrpSpPr>
        <xdr:grpSpPr>
          <a:xfrm>
            <a:off x="533404" y="2662230"/>
            <a:ext cx="1194197" cy="208360"/>
            <a:chOff x="541735" y="2152650"/>
            <a:chExt cx="1194197" cy="208360"/>
          </a:xfrm>
        </xdr:grpSpPr>
        <xdr:sp macro="" textlink="">
          <xdr:nvSpPr>
            <xdr:cNvPr id="33" name="타원 32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4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4" name="타원 33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5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5" name="타원 34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6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29" name="그룹 28"/>
          <xdr:cNvGrpSpPr/>
        </xdr:nvGrpSpPr>
        <xdr:grpSpPr>
          <a:xfrm>
            <a:off x="536979" y="3082515"/>
            <a:ext cx="1194197" cy="208360"/>
            <a:chOff x="541735" y="2152650"/>
            <a:chExt cx="1194197" cy="208360"/>
          </a:xfrm>
        </xdr:grpSpPr>
        <xdr:sp macro="" textlink="">
          <xdr:nvSpPr>
            <xdr:cNvPr id="30" name="타원 29"/>
            <xdr:cNvSpPr/>
          </xdr:nvSpPr>
          <xdr:spPr>
            <a:xfrm>
              <a:off x="541735" y="2155032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7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1" name="타원 30"/>
            <xdr:cNvSpPr/>
          </xdr:nvSpPr>
          <xdr:spPr>
            <a:xfrm>
              <a:off x="1045370" y="2152650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8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2" name="타원 31"/>
            <xdr:cNvSpPr/>
          </xdr:nvSpPr>
          <xdr:spPr>
            <a:xfrm>
              <a:off x="1519238" y="2156223"/>
              <a:ext cx="216694" cy="204787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1100">
                  <a:solidFill>
                    <a:schemeClr val="tx1"/>
                  </a:solidFill>
                </a:rPr>
                <a:t>9</a:t>
              </a:r>
              <a:endParaRPr lang="ko-KR" altLang="en-US" sz="11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AE88"/>
  <sheetViews>
    <sheetView showGridLines="0" showZeros="0" tabSelected="1" view="pageBreakPreview" zoomScale="85" zoomScaleNormal="100" zoomScaleSheetLayoutView="85" workbookViewId="0">
      <selection activeCell="Z8" sqref="Z8"/>
    </sheetView>
  </sheetViews>
  <sheetFormatPr defaultRowHeight="13.5" x14ac:dyDescent="0.15"/>
  <cols>
    <col min="1" max="13" width="3.6640625" style="29" customWidth="1"/>
    <col min="14" max="15" width="3.77734375" style="29" customWidth="1"/>
    <col min="16" max="20" width="3.6640625" style="29" customWidth="1"/>
    <col min="21" max="23" width="3.6640625" customWidth="1"/>
  </cols>
  <sheetData>
    <row r="1" spans="1:31" ht="20.100000000000001" customHeight="1" x14ac:dyDescent="0.15">
      <c r="A1" s="428" t="s">
        <v>55</v>
      </c>
      <c r="B1" s="413"/>
      <c r="C1" s="413"/>
      <c r="D1" s="413"/>
      <c r="E1" s="413"/>
      <c r="F1" s="413"/>
      <c r="G1" s="413"/>
      <c r="H1" s="413"/>
      <c r="I1" s="436" t="s">
        <v>272</v>
      </c>
      <c r="J1" s="437"/>
      <c r="K1" s="430"/>
      <c r="L1" s="431"/>
      <c r="M1" s="432"/>
      <c r="N1" s="409" t="s">
        <v>56</v>
      </c>
      <c r="O1" s="410"/>
      <c r="P1" s="413" t="str">
        <f>Y5</f>
        <v>000000-00-00-00</v>
      </c>
      <c r="Q1" s="413"/>
      <c r="R1" s="413"/>
      <c r="S1" s="413"/>
      <c r="T1" s="413"/>
      <c r="U1" s="413"/>
      <c r="V1" s="413"/>
      <c r="W1" s="414"/>
    </row>
    <row r="2" spans="1:31" ht="20.100000000000001" customHeight="1" x14ac:dyDescent="0.15">
      <c r="A2" s="429"/>
      <c r="B2" s="415"/>
      <c r="C2" s="415"/>
      <c r="D2" s="415"/>
      <c r="E2" s="415"/>
      <c r="F2" s="415"/>
      <c r="G2" s="415"/>
      <c r="H2" s="415"/>
      <c r="I2" s="438"/>
      <c r="J2" s="439"/>
      <c r="K2" s="433"/>
      <c r="L2" s="434"/>
      <c r="M2" s="435"/>
      <c r="N2" s="411"/>
      <c r="O2" s="412"/>
      <c r="P2" s="415"/>
      <c r="Q2" s="415"/>
      <c r="R2" s="415"/>
      <c r="S2" s="415"/>
      <c r="T2" s="415"/>
      <c r="U2" s="415"/>
      <c r="V2" s="415"/>
      <c r="W2" s="416"/>
    </row>
    <row r="3" spans="1:31" s="1" customFormat="1" ht="15" customHeight="1" x14ac:dyDescent="0.15">
      <c r="A3" s="440" t="s">
        <v>0</v>
      </c>
      <c r="B3" s="441"/>
      <c r="C3" s="441"/>
      <c r="D3" s="425" t="s">
        <v>57</v>
      </c>
      <c r="E3" s="426"/>
      <c r="F3" s="426"/>
      <c r="G3" s="426"/>
      <c r="H3" s="426"/>
      <c r="I3" s="426"/>
      <c r="J3" s="426"/>
      <c r="K3" s="426"/>
      <c r="L3" s="426"/>
      <c r="M3" s="427"/>
      <c r="N3" s="442" t="s">
        <v>1</v>
      </c>
      <c r="O3" s="442"/>
      <c r="P3" s="443">
        <f>AA5</f>
        <v>0</v>
      </c>
      <c r="Q3" s="441"/>
      <c r="R3" s="441"/>
      <c r="S3" s="444" t="s">
        <v>171</v>
      </c>
      <c r="T3" s="445"/>
      <c r="U3" s="445"/>
      <c r="V3" s="445"/>
      <c r="W3" s="446"/>
    </row>
    <row r="4" spans="1:31" s="1" customFormat="1" ht="24.95" customHeight="1" x14ac:dyDescent="0.15">
      <c r="A4" s="422" t="s">
        <v>2</v>
      </c>
      <c r="B4" s="423"/>
      <c r="C4" s="424" t="s">
        <v>58</v>
      </c>
      <c r="D4" s="424"/>
      <c r="E4" s="424"/>
      <c r="F4" s="424"/>
      <c r="G4" s="424"/>
      <c r="H4" s="423" t="s">
        <v>3</v>
      </c>
      <c r="I4" s="423"/>
      <c r="J4" s="423" t="s">
        <v>59</v>
      </c>
      <c r="K4" s="423"/>
      <c r="L4" s="423"/>
      <c r="M4" s="423"/>
      <c r="N4" s="447" t="s">
        <v>4</v>
      </c>
      <c r="O4" s="195"/>
      <c r="P4" s="454"/>
      <c r="Q4" s="450"/>
      <c r="R4" s="450"/>
      <c r="S4" s="450"/>
      <c r="T4" s="450"/>
      <c r="U4" s="450"/>
      <c r="V4" s="450"/>
      <c r="W4" s="451"/>
      <c r="Y4" s="1" t="s">
        <v>72</v>
      </c>
      <c r="Z4" s="1" t="s">
        <v>73</v>
      </c>
      <c r="AA4" s="1" t="s">
        <v>297</v>
      </c>
    </row>
    <row r="5" spans="1:31" s="1" customFormat="1" ht="24.95" customHeight="1" thickBot="1" x14ac:dyDescent="0.2">
      <c r="A5" s="417" t="s">
        <v>5</v>
      </c>
      <c r="B5" s="418"/>
      <c r="C5" s="419" t="s">
        <v>147</v>
      </c>
      <c r="D5" s="419"/>
      <c r="E5" s="419"/>
      <c r="F5" s="419"/>
      <c r="G5" s="419"/>
      <c r="H5" s="420" t="s">
        <v>6</v>
      </c>
      <c r="I5" s="420"/>
      <c r="J5" s="421" t="s">
        <v>60</v>
      </c>
      <c r="K5" s="421"/>
      <c r="L5" s="421"/>
      <c r="M5" s="421"/>
      <c r="N5" s="448"/>
      <c r="O5" s="449"/>
      <c r="P5" s="455"/>
      <c r="Q5" s="452"/>
      <c r="R5" s="452"/>
      <c r="S5" s="452"/>
      <c r="T5" s="452"/>
      <c r="U5" s="452"/>
      <c r="V5" s="452"/>
      <c r="W5" s="453"/>
      <c r="Y5" s="1" t="s">
        <v>298</v>
      </c>
      <c r="Z5" s="1" t="str">
        <f>MID(Y5,9,1)</f>
        <v>0</v>
      </c>
      <c r="AA5" s="1">
        <f>Z5*1</f>
        <v>0</v>
      </c>
    </row>
    <row r="6" spans="1:31" s="1" customFormat="1" ht="16.5" customHeight="1" x14ac:dyDescent="0.15">
      <c r="A6" s="225" t="s">
        <v>87</v>
      </c>
      <c r="B6" s="226"/>
      <c r="C6" s="226"/>
      <c r="D6" s="227" t="s">
        <v>87</v>
      </c>
      <c r="E6" s="226"/>
      <c r="F6" s="228"/>
      <c r="G6" s="226" t="s">
        <v>87</v>
      </c>
      <c r="H6" s="226"/>
      <c r="I6" s="226"/>
      <c r="J6" s="227" t="s">
        <v>87</v>
      </c>
      <c r="K6" s="226"/>
      <c r="L6" s="228"/>
      <c r="M6" s="226" t="s">
        <v>87</v>
      </c>
      <c r="N6" s="226"/>
      <c r="O6" s="226"/>
      <c r="P6" s="227" t="s">
        <v>87</v>
      </c>
      <c r="Q6" s="226"/>
      <c r="R6" s="255"/>
      <c r="S6" s="170" t="s">
        <v>190</v>
      </c>
      <c r="T6" s="171"/>
      <c r="U6" s="172"/>
      <c r="V6" s="173"/>
      <c r="W6" s="174"/>
    </row>
    <row r="7" spans="1:31" s="1" customFormat="1" ht="16.5" customHeight="1" x14ac:dyDescent="0.15">
      <c r="A7" s="247" t="s">
        <v>80</v>
      </c>
      <c r="B7" s="211" t="s">
        <v>81</v>
      </c>
      <c r="C7" s="249"/>
      <c r="D7" s="209" t="s">
        <v>82</v>
      </c>
      <c r="E7" s="211" t="s">
        <v>83</v>
      </c>
      <c r="F7" s="251"/>
      <c r="G7" s="253" t="s">
        <v>119</v>
      </c>
      <c r="H7" s="211" t="s">
        <v>85</v>
      </c>
      <c r="I7" s="249"/>
      <c r="J7" s="209" t="s">
        <v>86</v>
      </c>
      <c r="K7" s="211" t="s">
        <v>96</v>
      </c>
      <c r="L7" s="251"/>
      <c r="M7" s="253" t="s">
        <v>247</v>
      </c>
      <c r="N7" s="211" t="s">
        <v>120</v>
      </c>
      <c r="O7" s="249"/>
      <c r="P7" s="209" t="s">
        <v>248</v>
      </c>
      <c r="Q7" s="211" t="s">
        <v>121</v>
      </c>
      <c r="R7" s="212"/>
      <c r="S7" s="194" t="s">
        <v>178</v>
      </c>
      <c r="T7" s="195"/>
      <c r="U7" s="196"/>
      <c r="V7" s="197"/>
      <c r="W7" s="198"/>
      <c r="Y7" s="1" t="s">
        <v>299</v>
      </c>
      <c r="AC7" s="1" t="s">
        <v>300</v>
      </c>
      <c r="AD7" s="1" t="s">
        <v>301</v>
      </c>
      <c r="AE7" s="1" t="s">
        <v>302</v>
      </c>
    </row>
    <row r="8" spans="1:31" s="1" customFormat="1" ht="16.5" customHeight="1" x14ac:dyDescent="0.15">
      <c r="A8" s="248"/>
      <c r="B8" s="213"/>
      <c r="C8" s="250"/>
      <c r="D8" s="210"/>
      <c r="E8" s="213"/>
      <c r="F8" s="252"/>
      <c r="G8" s="254"/>
      <c r="H8" s="213"/>
      <c r="I8" s="250"/>
      <c r="J8" s="210"/>
      <c r="K8" s="213"/>
      <c r="L8" s="252"/>
      <c r="M8" s="254"/>
      <c r="N8" s="213"/>
      <c r="O8" s="250"/>
      <c r="P8" s="210"/>
      <c r="Q8" s="213"/>
      <c r="R8" s="214"/>
      <c r="S8" s="199" t="s">
        <v>179</v>
      </c>
      <c r="T8" s="200"/>
      <c r="U8" s="203"/>
      <c r="V8" s="204"/>
      <c r="W8" s="205"/>
      <c r="Y8" s="21" t="s">
        <v>210</v>
      </c>
      <c r="Z8" s="1">
        <v>0</v>
      </c>
      <c r="AA8" s="2">
        <v>0</v>
      </c>
      <c r="AB8" s="2">
        <v>0</v>
      </c>
      <c r="AC8" s="21" t="s">
        <v>210</v>
      </c>
      <c r="AD8" s="21" t="s">
        <v>210</v>
      </c>
      <c r="AE8" s="21" t="s">
        <v>303</v>
      </c>
    </row>
    <row r="9" spans="1:31" s="1" customFormat="1" ht="16.5" customHeight="1" thickBot="1" x14ac:dyDescent="0.2">
      <c r="A9" s="229" t="s">
        <v>212</v>
      </c>
      <c r="B9" s="230"/>
      <c r="C9" s="230"/>
      <c r="D9" s="230"/>
      <c r="E9" s="230"/>
      <c r="F9" s="231" t="s">
        <v>213</v>
      </c>
      <c r="G9" s="232"/>
      <c r="H9" s="232"/>
      <c r="I9" s="232"/>
      <c r="J9" s="232"/>
      <c r="K9" s="232"/>
      <c r="L9" s="233"/>
      <c r="M9" s="231" t="s">
        <v>214</v>
      </c>
      <c r="N9" s="232"/>
      <c r="O9" s="232"/>
      <c r="P9" s="232"/>
      <c r="Q9" s="232"/>
      <c r="R9" s="234"/>
      <c r="S9" s="201"/>
      <c r="T9" s="202"/>
      <c r="U9" s="206"/>
      <c r="V9" s="207"/>
      <c r="W9" s="208"/>
    </row>
    <row r="10" spans="1:31" s="2" customFormat="1" ht="15" customHeight="1" x14ac:dyDescent="0.15">
      <c r="A10" s="386" t="s">
        <v>11</v>
      </c>
      <c r="B10" s="387"/>
      <c r="C10" s="387"/>
      <c r="D10" s="388" t="s">
        <v>304</v>
      </c>
      <c r="E10" s="388"/>
      <c r="F10" s="242" t="s">
        <v>216</v>
      </c>
      <c r="G10" s="243"/>
      <c r="H10" s="245" t="s">
        <v>180</v>
      </c>
      <c r="I10" s="246"/>
      <c r="J10" s="72"/>
      <c r="K10" s="239" t="s">
        <v>217</v>
      </c>
      <c r="L10" s="240"/>
      <c r="M10" s="240"/>
      <c r="N10" s="178" t="s">
        <v>215</v>
      </c>
      <c r="O10" s="179"/>
      <c r="P10" s="179"/>
      <c r="Q10" s="180"/>
      <c r="R10" s="184" t="s">
        <v>192</v>
      </c>
      <c r="S10" s="185"/>
      <c r="T10" s="185"/>
      <c r="U10" s="185"/>
      <c r="V10" s="185"/>
      <c r="W10" s="186"/>
    </row>
    <row r="11" spans="1:31" s="2" customFormat="1" ht="24" customHeight="1" thickBot="1" x14ac:dyDescent="0.2">
      <c r="A11" s="235" t="s">
        <v>218</v>
      </c>
      <c r="B11" s="236"/>
      <c r="C11" s="236"/>
      <c r="D11" s="236"/>
      <c r="E11" s="231"/>
      <c r="F11" s="244"/>
      <c r="G11" s="244"/>
      <c r="H11" s="237"/>
      <c r="I11" s="220"/>
      <c r="J11" s="238"/>
      <c r="K11" s="241"/>
      <c r="L11" s="241"/>
      <c r="M11" s="241"/>
      <c r="N11" s="181"/>
      <c r="O11" s="182"/>
      <c r="P11" s="182"/>
      <c r="Q11" s="183"/>
      <c r="R11" s="187" t="s">
        <v>193</v>
      </c>
      <c r="S11" s="188"/>
      <c r="T11" s="188"/>
      <c r="U11" s="188" t="s">
        <v>194</v>
      </c>
      <c r="V11" s="188"/>
      <c r="W11" s="189"/>
    </row>
    <row r="12" spans="1:31" s="2" customFormat="1" ht="9.9499999999999993" customHeight="1" x14ac:dyDescent="0.15">
      <c r="A12" s="75"/>
      <c r="B12" s="192"/>
      <c r="C12" s="368"/>
      <c r="D12" s="78"/>
      <c r="E12" s="192"/>
      <c r="F12" s="368"/>
      <c r="G12" s="78"/>
      <c r="H12" s="3"/>
      <c r="I12" s="192"/>
      <c r="J12" s="368"/>
      <c r="K12" s="368"/>
      <c r="L12" s="192"/>
      <c r="M12" s="368"/>
      <c r="N12" s="3"/>
      <c r="O12" s="192"/>
      <c r="P12" s="368"/>
      <c r="Q12" s="4"/>
      <c r="R12" s="175" t="s">
        <v>191</v>
      </c>
      <c r="S12" s="192" t="s">
        <v>12</v>
      </c>
      <c r="T12" s="193"/>
      <c r="U12" s="222" t="s">
        <v>62</v>
      </c>
      <c r="V12" s="223"/>
      <c r="W12" s="224"/>
    </row>
    <row r="13" spans="1:31" s="2" customFormat="1" ht="9.9499999999999993" customHeight="1" thickBot="1" x14ac:dyDescent="0.2">
      <c r="A13" s="75"/>
      <c r="B13" s="369"/>
      <c r="C13" s="370"/>
      <c r="D13" s="78"/>
      <c r="E13" s="369"/>
      <c r="F13" s="370"/>
      <c r="G13" s="78"/>
      <c r="H13" s="3"/>
      <c r="I13" s="369"/>
      <c r="J13" s="370"/>
      <c r="K13" s="368"/>
      <c r="L13" s="369"/>
      <c r="M13" s="370"/>
      <c r="N13" s="3"/>
      <c r="O13" s="369"/>
      <c r="P13" s="370"/>
      <c r="Q13" s="4"/>
      <c r="R13" s="176"/>
      <c r="S13" s="192"/>
      <c r="T13" s="193"/>
      <c r="U13" s="222"/>
      <c r="V13" s="223"/>
      <c r="W13" s="224"/>
    </row>
    <row r="14" spans="1:31" s="2" customFormat="1" ht="15" customHeight="1" x14ac:dyDescent="0.15">
      <c r="A14" s="75"/>
      <c r="B14" s="77"/>
      <c r="C14" s="78"/>
      <c r="D14" s="78"/>
      <c r="E14" s="78"/>
      <c r="F14" s="4"/>
      <c r="G14" s="5"/>
      <c r="H14" s="5"/>
      <c r="I14" s="76"/>
      <c r="J14" s="78"/>
      <c r="K14" s="78"/>
      <c r="L14" s="76"/>
      <c r="M14" s="78"/>
      <c r="N14" s="78"/>
      <c r="O14" s="77"/>
      <c r="P14" s="78"/>
      <c r="Q14" s="78"/>
      <c r="R14" s="176"/>
      <c r="S14" s="215" t="s">
        <v>13</v>
      </c>
      <c r="T14" s="216"/>
      <c r="U14" s="217" t="s">
        <v>63</v>
      </c>
      <c r="V14" s="218"/>
      <c r="W14" s="219"/>
    </row>
    <row r="15" spans="1:31" s="2" customFormat="1" ht="20.100000000000001" customHeight="1" thickBot="1" x14ac:dyDescent="0.2">
      <c r="A15" s="75"/>
      <c r="B15" s="76"/>
      <c r="C15" s="78"/>
      <c r="D15" s="78"/>
      <c r="E15" s="78"/>
      <c r="F15" s="6"/>
      <c r="G15" s="220" t="s">
        <v>65</v>
      </c>
      <c r="H15" s="220"/>
      <c r="I15" s="220"/>
      <c r="J15" s="220"/>
      <c r="K15" s="220"/>
      <c r="L15" s="220"/>
      <c r="M15" s="220"/>
      <c r="N15" s="220"/>
      <c r="O15" s="221"/>
      <c r="P15" s="78"/>
      <c r="Q15" s="78"/>
      <c r="R15" s="177"/>
      <c r="S15" s="190" t="s">
        <v>14</v>
      </c>
      <c r="T15" s="191"/>
      <c r="U15" s="406" t="s">
        <v>64</v>
      </c>
      <c r="V15" s="407"/>
      <c r="W15" s="408"/>
    </row>
    <row r="16" spans="1:31" s="2" customFormat="1" ht="20.100000000000001" customHeight="1" thickBot="1" x14ac:dyDescent="0.2">
      <c r="A16" s="392" t="s">
        <v>15</v>
      </c>
      <c r="B16" s="393"/>
      <c r="C16" s="47"/>
      <c r="D16" s="398"/>
      <c r="E16" s="398"/>
      <c r="F16" s="378"/>
      <c r="G16" s="387" t="s">
        <v>16</v>
      </c>
      <c r="H16" s="387"/>
      <c r="I16" s="387"/>
      <c r="J16" s="386" t="s">
        <v>17</v>
      </c>
      <c r="K16" s="387"/>
      <c r="L16" s="401"/>
      <c r="M16" s="386" t="s">
        <v>18</v>
      </c>
      <c r="N16" s="387"/>
      <c r="O16" s="387"/>
      <c r="P16" s="402"/>
      <c r="Q16" s="403"/>
      <c r="R16" s="404"/>
      <c r="S16" s="192"/>
      <c r="T16" s="193"/>
      <c r="U16" s="222"/>
      <c r="V16" s="223"/>
      <c r="W16" s="224"/>
    </row>
    <row r="17" spans="1:25" s="2" customFormat="1" ht="17.25" customHeight="1" x14ac:dyDescent="0.15">
      <c r="A17" s="394"/>
      <c r="B17" s="395"/>
      <c r="C17" s="78"/>
      <c r="D17" s="75"/>
      <c r="E17" s="78"/>
      <c r="F17" s="76"/>
      <c r="G17" s="78"/>
      <c r="H17" s="78"/>
      <c r="I17" s="78"/>
      <c r="J17" s="75"/>
      <c r="K17" s="78"/>
      <c r="L17" s="76"/>
      <c r="M17" s="7"/>
      <c r="N17" s="7"/>
      <c r="O17" s="7"/>
      <c r="P17" s="405"/>
      <c r="Q17" s="403"/>
      <c r="R17" s="403"/>
      <c r="S17" s="399" t="s">
        <v>19</v>
      </c>
      <c r="T17" s="399"/>
      <c r="U17" s="399"/>
      <c r="V17" s="399"/>
      <c r="W17" s="400"/>
    </row>
    <row r="18" spans="1:25" s="2" customFormat="1" ht="17.25" customHeight="1" x14ac:dyDescent="0.15">
      <c r="A18" s="396"/>
      <c r="B18" s="397"/>
      <c r="C18" s="5"/>
      <c r="D18" s="201" t="s">
        <v>20</v>
      </c>
      <c r="E18" s="352"/>
      <c r="F18" s="353"/>
      <c r="G18" s="352" t="s">
        <v>21</v>
      </c>
      <c r="H18" s="352"/>
      <c r="I18" s="352"/>
      <c r="J18" s="201" t="s">
        <v>22</v>
      </c>
      <c r="K18" s="352"/>
      <c r="L18" s="353"/>
      <c r="M18" s="201" t="s">
        <v>23</v>
      </c>
      <c r="N18" s="352"/>
      <c r="O18" s="352"/>
      <c r="P18" s="8"/>
      <c r="Q18" s="9"/>
      <c r="R18" s="5"/>
      <c r="S18" s="389"/>
      <c r="T18" s="390"/>
      <c r="U18" s="390"/>
      <c r="V18" s="390"/>
      <c r="W18" s="391"/>
    </row>
    <row r="19" spans="1:25" s="2" customFormat="1" ht="17.25" customHeight="1" x14ac:dyDescent="0.15">
      <c r="A19" s="501" t="s">
        <v>24</v>
      </c>
      <c r="B19" s="502"/>
      <c r="C19" s="376"/>
      <c r="D19" s="497" t="s">
        <v>25</v>
      </c>
      <c r="E19" s="271"/>
      <c r="F19" s="308"/>
      <c r="G19" s="271" t="s">
        <v>66</v>
      </c>
      <c r="H19" s="271"/>
      <c r="I19" s="271"/>
      <c r="J19" s="497" t="s">
        <v>66</v>
      </c>
      <c r="K19" s="271"/>
      <c r="L19" s="308"/>
      <c r="M19" s="497" t="s">
        <v>66</v>
      </c>
      <c r="N19" s="271"/>
      <c r="O19" s="271"/>
      <c r="P19" s="8"/>
      <c r="Q19" s="9"/>
      <c r="R19" s="5"/>
      <c r="S19" s="377" t="s">
        <v>78</v>
      </c>
      <c r="T19" s="294"/>
      <c r="U19" s="294"/>
      <c r="V19" s="294"/>
      <c r="W19" s="295"/>
    </row>
    <row r="20" spans="1:25" s="2" customFormat="1" ht="17.25" customHeight="1" x14ac:dyDescent="0.15">
      <c r="A20" s="374" t="s">
        <v>26</v>
      </c>
      <c r="B20" s="498"/>
      <c r="C20" s="499"/>
      <c r="D20" s="471" t="s">
        <v>172</v>
      </c>
      <c r="E20" s="472"/>
      <c r="F20" s="500"/>
      <c r="G20" s="468" t="s">
        <v>67</v>
      </c>
      <c r="H20" s="468"/>
      <c r="I20" s="468"/>
      <c r="J20" s="469" t="s">
        <v>99</v>
      </c>
      <c r="K20" s="468"/>
      <c r="L20" s="470"/>
      <c r="M20" s="469" t="s">
        <v>67</v>
      </c>
      <c r="N20" s="468"/>
      <c r="O20" s="468"/>
      <c r="P20" s="8"/>
      <c r="Q20" s="9"/>
      <c r="R20" s="74"/>
      <c r="S20" s="456" t="s">
        <v>27</v>
      </c>
      <c r="T20" s="457"/>
      <c r="U20" s="379" t="s">
        <v>28</v>
      </c>
      <c r="V20" s="380"/>
      <c r="W20" s="381"/>
    </row>
    <row r="21" spans="1:25" s="2" customFormat="1" ht="17.25" customHeight="1" x14ac:dyDescent="0.15">
      <c r="A21" s="374" t="s">
        <v>29</v>
      </c>
      <c r="B21" s="375"/>
      <c r="C21" s="376"/>
      <c r="D21" s="471" t="s">
        <v>30</v>
      </c>
      <c r="E21" s="472"/>
      <c r="F21" s="472"/>
      <c r="G21" s="464" t="s">
        <v>68</v>
      </c>
      <c r="H21" s="465"/>
      <c r="I21" s="465"/>
      <c r="J21" s="465"/>
      <c r="K21" s="465"/>
      <c r="L21" s="465"/>
      <c r="M21" s="466" t="s">
        <v>305</v>
      </c>
      <c r="N21" s="467"/>
      <c r="O21" s="467"/>
      <c r="P21" s="10"/>
      <c r="Q21" s="11"/>
      <c r="R21" s="74"/>
      <c r="S21" s="382" t="s">
        <v>31</v>
      </c>
      <c r="T21" s="383"/>
      <c r="U21" s="382"/>
      <c r="V21" s="384"/>
      <c r="W21" s="385"/>
    </row>
    <row r="22" spans="1:25" s="2" customFormat="1" ht="17.25" customHeight="1" thickBot="1" x14ac:dyDescent="0.2">
      <c r="A22" s="374" t="s">
        <v>32</v>
      </c>
      <c r="B22" s="375"/>
      <c r="C22" s="376"/>
      <c r="D22" s="471" t="s">
        <v>33</v>
      </c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12"/>
      <c r="Q22" s="13"/>
      <c r="R22" s="14"/>
      <c r="S22" s="15"/>
      <c r="T22" s="269" t="s">
        <v>69</v>
      </c>
      <c r="U22" s="269"/>
      <c r="V22" s="269"/>
      <c r="W22" s="16"/>
    </row>
    <row r="23" spans="1:25" s="2" customFormat="1" ht="17.25" customHeight="1" thickBot="1" x14ac:dyDescent="0.2">
      <c r="A23" s="374" t="s">
        <v>34</v>
      </c>
      <c r="B23" s="375"/>
      <c r="C23" s="376"/>
      <c r="D23" s="229" t="s">
        <v>35</v>
      </c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8"/>
      <c r="Q23" s="9"/>
      <c r="R23" s="74"/>
      <c r="S23" s="378"/>
      <c r="T23" s="17"/>
      <c r="U23" s="18"/>
      <c r="V23" s="19"/>
      <c r="W23" s="351"/>
    </row>
    <row r="24" spans="1:25" s="2" customFormat="1" ht="17.25" customHeight="1" x14ac:dyDescent="0.15">
      <c r="A24" s="33" t="s">
        <v>36</v>
      </c>
      <c r="B24" s="34"/>
      <c r="C24" s="34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378"/>
      <c r="T24" s="201" t="s">
        <v>70</v>
      </c>
      <c r="U24" s="352"/>
      <c r="V24" s="353"/>
      <c r="W24" s="351"/>
    </row>
    <row r="25" spans="1:25" s="2" customFormat="1" ht="16.5" customHeight="1" x14ac:dyDescent="0.15">
      <c r="A25" s="458" t="s">
        <v>8</v>
      </c>
      <c r="B25" s="357"/>
      <c r="C25" s="35" t="s">
        <v>90</v>
      </c>
      <c r="D25" s="364" t="s">
        <v>91</v>
      </c>
      <c r="E25" s="365"/>
      <c r="F25" s="365"/>
      <c r="G25" s="356" t="s">
        <v>89</v>
      </c>
      <c r="H25" s="357"/>
      <c r="I25" s="364" t="s">
        <v>91</v>
      </c>
      <c r="J25" s="365"/>
      <c r="K25" s="480"/>
      <c r="L25" s="475" t="s">
        <v>92</v>
      </c>
      <c r="M25" s="36" t="s">
        <v>93</v>
      </c>
      <c r="N25" s="481" t="s">
        <v>247</v>
      </c>
      <c r="O25" s="473" t="s">
        <v>101</v>
      </c>
      <c r="P25" s="474"/>
      <c r="Q25" s="481" t="s">
        <v>79</v>
      </c>
      <c r="R25" s="262" t="s">
        <v>266</v>
      </c>
      <c r="S25" s="263"/>
      <c r="T25" s="266" t="s">
        <v>10</v>
      </c>
      <c r="U25" s="256" t="s">
        <v>104</v>
      </c>
      <c r="V25" s="257"/>
      <c r="W25" s="260" t="s">
        <v>10</v>
      </c>
    </row>
    <row r="26" spans="1:25" s="21" customFormat="1" ht="16.5" customHeight="1" x14ac:dyDescent="0.15">
      <c r="A26" s="459"/>
      <c r="B26" s="359"/>
      <c r="C26" s="20" t="s">
        <v>173</v>
      </c>
      <c r="D26" s="366" t="s">
        <v>176</v>
      </c>
      <c r="E26" s="367"/>
      <c r="F26" s="367"/>
      <c r="G26" s="358"/>
      <c r="H26" s="359"/>
      <c r="I26" s="366" t="s">
        <v>176</v>
      </c>
      <c r="J26" s="367"/>
      <c r="K26" s="367"/>
      <c r="L26" s="476"/>
      <c r="M26" s="37" t="s">
        <v>94</v>
      </c>
      <c r="N26" s="482"/>
      <c r="O26" s="461" t="s">
        <v>105</v>
      </c>
      <c r="P26" s="462"/>
      <c r="Q26" s="482"/>
      <c r="R26" s="264"/>
      <c r="S26" s="265"/>
      <c r="T26" s="267"/>
      <c r="U26" s="258"/>
      <c r="V26" s="259"/>
      <c r="W26" s="261"/>
      <c r="Y26" s="21" t="s">
        <v>264</v>
      </c>
    </row>
    <row r="27" spans="1:25" s="21" customFormat="1" ht="16.5" customHeight="1" x14ac:dyDescent="0.15">
      <c r="A27" s="460"/>
      <c r="B27" s="361"/>
      <c r="C27" s="38" t="s">
        <v>174</v>
      </c>
      <c r="D27" s="354" t="s">
        <v>175</v>
      </c>
      <c r="E27" s="355"/>
      <c r="F27" s="355"/>
      <c r="G27" s="360"/>
      <c r="H27" s="361"/>
      <c r="I27" s="354" t="s">
        <v>175</v>
      </c>
      <c r="J27" s="355"/>
      <c r="K27" s="355"/>
      <c r="L27" s="477"/>
      <c r="M27" s="39" t="s">
        <v>95</v>
      </c>
      <c r="N27" s="478" t="s">
        <v>106</v>
      </c>
      <c r="O27" s="264"/>
      <c r="P27" s="463"/>
      <c r="Q27" s="478" t="s">
        <v>107</v>
      </c>
      <c r="R27" s="258" t="s">
        <v>43</v>
      </c>
      <c r="S27" s="265"/>
      <c r="T27" s="265"/>
      <c r="U27" s="310" t="s">
        <v>43</v>
      </c>
      <c r="V27" s="311"/>
      <c r="W27" s="312"/>
    </row>
    <row r="28" spans="1:25" s="21" customFormat="1" ht="16.5" customHeight="1" x14ac:dyDescent="0.15">
      <c r="A28" s="485" t="s">
        <v>249</v>
      </c>
      <c r="B28" s="486"/>
      <c r="C28" s="486"/>
      <c r="D28" s="486"/>
      <c r="E28" s="486"/>
      <c r="F28" s="486"/>
      <c r="G28" s="486"/>
      <c r="H28" s="486"/>
      <c r="I28" s="486"/>
      <c r="J28" s="486"/>
      <c r="K28" s="486"/>
      <c r="L28" s="486"/>
      <c r="M28" s="487"/>
      <c r="N28" s="478"/>
      <c r="O28" s="483" t="s">
        <v>128</v>
      </c>
      <c r="P28" s="484"/>
      <c r="Q28" s="478"/>
      <c r="R28" s="283" t="s">
        <v>126</v>
      </c>
      <c r="S28" s="284"/>
      <c r="T28" s="284"/>
      <c r="U28" s="283" t="s">
        <v>114</v>
      </c>
      <c r="V28" s="284"/>
      <c r="W28" s="372"/>
    </row>
    <row r="29" spans="1:25" s="21" customFormat="1" ht="17.100000000000001" customHeight="1" x14ac:dyDescent="0.15">
      <c r="A29" s="488"/>
      <c r="B29" s="489"/>
      <c r="C29" s="489"/>
      <c r="D29" s="489"/>
      <c r="E29" s="489"/>
      <c r="F29" s="489"/>
      <c r="G29" s="489"/>
      <c r="H29" s="489"/>
      <c r="I29" s="489"/>
      <c r="J29" s="489"/>
      <c r="K29" s="489"/>
      <c r="L29" s="489"/>
      <c r="M29" s="490"/>
      <c r="N29" s="478"/>
      <c r="O29" s="483"/>
      <c r="P29" s="484"/>
      <c r="Q29" s="478"/>
      <c r="R29" s="371" t="s">
        <v>110</v>
      </c>
      <c r="S29" s="367"/>
      <c r="T29" s="367"/>
      <c r="U29" s="313" t="s">
        <v>110</v>
      </c>
      <c r="V29" s="314"/>
      <c r="W29" s="315"/>
    </row>
    <row r="30" spans="1:25" s="21" customFormat="1" ht="17.100000000000001" customHeight="1" x14ac:dyDescent="0.15">
      <c r="A30" s="105" t="s">
        <v>259</v>
      </c>
      <c r="B30" s="106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478"/>
      <c r="O30" s="483"/>
      <c r="P30" s="484"/>
      <c r="Q30" s="478"/>
      <c r="R30" s="491" t="s">
        <v>265</v>
      </c>
      <c r="S30" s="492"/>
      <c r="T30" s="493"/>
      <c r="U30" s="283" t="s">
        <v>127</v>
      </c>
      <c r="V30" s="284"/>
      <c r="W30" s="372"/>
    </row>
    <row r="31" spans="1:25" s="21" customFormat="1" ht="1.5" customHeight="1" x14ac:dyDescent="0.15">
      <c r="A31" s="105"/>
      <c r="B31" s="106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479"/>
      <c r="O31" s="483"/>
      <c r="P31" s="484"/>
      <c r="Q31" s="479"/>
      <c r="R31" s="494"/>
      <c r="S31" s="495"/>
      <c r="T31" s="496"/>
      <c r="U31" s="373"/>
      <c r="V31" s="286"/>
      <c r="W31" s="363"/>
    </row>
    <row r="32" spans="1:25" s="21" customFormat="1" ht="17.100000000000001" customHeight="1" x14ac:dyDescent="0.15">
      <c r="A32" s="105" t="s">
        <v>260</v>
      </c>
      <c r="B32" s="106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289" t="s">
        <v>116</v>
      </c>
      <c r="O32" s="290"/>
      <c r="P32" s="290"/>
      <c r="Q32" s="290"/>
      <c r="R32" s="290"/>
      <c r="S32" s="285" t="s">
        <v>117</v>
      </c>
      <c r="T32" s="279" t="s">
        <v>118</v>
      </c>
      <c r="U32" s="280"/>
      <c r="V32" s="279" t="s">
        <v>160</v>
      </c>
      <c r="W32" s="362"/>
      <c r="Y32" s="32"/>
    </row>
    <row r="33" spans="1:23" s="21" customFormat="1" ht="17.100000000000001" customHeight="1" x14ac:dyDescent="0.15">
      <c r="A33" s="105"/>
      <c r="B33" s="106" t="s">
        <v>261</v>
      </c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291"/>
      <c r="O33" s="292"/>
      <c r="P33" s="292"/>
      <c r="Q33" s="292"/>
      <c r="R33" s="292"/>
      <c r="S33" s="286"/>
      <c r="T33" s="281"/>
      <c r="U33" s="282"/>
      <c r="V33" s="281"/>
      <c r="W33" s="363"/>
    </row>
    <row r="34" spans="1:23" s="21" customFormat="1" ht="17.100000000000001" customHeight="1" x14ac:dyDescent="0.15">
      <c r="A34" s="105" t="s">
        <v>255</v>
      </c>
      <c r="B34" s="106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287" t="s">
        <v>97</v>
      </c>
      <c r="O34" s="287"/>
      <c r="P34" s="287"/>
      <c r="Q34" s="287"/>
      <c r="R34" s="287"/>
      <c r="S34" s="287"/>
      <c r="T34" s="287"/>
      <c r="U34" s="287"/>
      <c r="V34" s="287"/>
      <c r="W34" s="288"/>
    </row>
    <row r="35" spans="1:23" s="21" customFormat="1" ht="16.5" customHeight="1" x14ac:dyDescent="0.15">
      <c r="A35" s="105" t="s">
        <v>256</v>
      </c>
      <c r="B35" s="106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273"/>
      <c r="O35" s="274"/>
      <c r="P35" s="274"/>
      <c r="Q35" s="274"/>
      <c r="R35" s="274"/>
      <c r="S35" s="274"/>
      <c r="T35" s="274"/>
      <c r="U35" s="274"/>
      <c r="V35" s="274"/>
      <c r="W35" s="275"/>
    </row>
    <row r="36" spans="1:23" s="21" customFormat="1" ht="17.100000000000001" customHeight="1" x14ac:dyDescent="0.15">
      <c r="A36" s="105" t="s">
        <v>257</v>
      </c>
      <c r="B36" s="106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276"/>
      <c r="O36" s="277"/>
      <c r="P36" s="277"/>
      <c r="Q36" s="277"/>
      <c r="R36" s="277"/>
      <c r="S36" s="277"/>
      <c r="T36" s="277"/>
      <c r="U36" s="277"/>
      <c r="V36" s="277"/>
      <c r="W36" s="278"/>
    </row>
    <row r="37" spans="1:23" s="21" customFormat="1" ht="17.100000000000001" customHeight="1" x14ac:dyDescent="0.15">
      <c r="A37" s="105" t="s">
        <v>258</v>
      </c>
      <c r="B37" s="106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298"/>
      <c r="O37" s="299"/>
      <c r="P37" s="299"/>
      <c r="Q37" s="299"/>
      <c r="R37" s="299"/>
      <c r="S37" s="299"/>
      <c r="T37" s="299"/>
      <c r="U37" s="299"/>
      <c r="V37" s="299"/>
      <c r="W37" s="300"/>
    </row>
    <row r="38" spans="1:23" s="21" customFormat="1" ht="15" customHeight="1" x14ac:dyDescent="0.15">
      <c r="A38" s="105" t="s">
        <v>262</v>
      </c>
      <c r="B38" s="106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301"/>
      <c r="O38" s="302"/>
      <c r="P38" s="302"/>
      <c r="Q38" s="302"/>
      <c r="R38" s="302"/>
      <c r="S38" s="302"/>
      <c r="T38" s="302"/>
      <c r="U38" s="302"/>
      <c r="V38" s="302"/>
      <c r="W38" s="303"/>
    </row>
    <row r="39" spans="1:23" s="21" customFormat="1" ht="15" customHeight="1" x14ac:dyDescent="0.15">
      <c r="A39" s="105" t="s">
        <v>263</v>
      </c>
      <c r="B39" s="106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301"/>
      <c r="O39" s="302"/>
      <c r="P39" s="302"/>
      <c r="Q39" s="302"/>
      <c r="R39" s="302"/>
      <c r="S39" s="302"/>
      <c r="T39" s="302"/>
      <c r="U39" s="302"/>
      <c r="V39" s="302"/>
      <c r="W39" s="303"/>
    </row>
    <row r="40" spans="1:23" s="21" customFormat="1" ht="15" customHeight="1" x14ac:dyDescent="0.15">
      <c r="A40" s="107"/>
      <c r="B40" s="108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304"/>
      <c r="O40" s="305"/>
      <c r="P40" s="305"/>
      <c r="Q40" s="305"/>
      <c r="R40" s="305"/>
      <c r="S40" s="305"/>
      <c r="T40" s="305"/>
      <c r="U40" s="305"/>
      <c r="V40" s="305"/>
      <c r="W40" s="306"/>
    </row>
    <row r="41" spans="1:23" s="21" customFormat="1" ht="18" customHeight="1" x14ac:dyDescent="0.15">
      <c r="A41" s="293" t="s">
        <v>251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295"/>
    </row>
    <row r="42" spans="1:23" s="21" customFormat="1" ht="15" customHeight="1" x14ac:dyDescent="0.15">
      <c r="A42" s="296" t="s">
        <v>44</v>
      </c>
      <c r="B42" s="297"/>
      <c r="C42" s="268" t="s">
        <v>45</v>
      </c>
      <c r="D42" s="269"/>
      <c r="E42" s="269"/>
      <c r="F42" s="269"/>
      <c r="G42" s="269"/>
      <c r="H42" s="268" t="s">
        <v>46</v>
      </c>
      <c r="I42" s="269"/>
      <c r="J42" s="269"/>
      <c r="K42" s="200"/>
      <c r="L42" s="309" t="s">
        <v>273</v>
      </c>
      <c r="M42" s="309"/>
      <c r="N42" s="268" t="s">
        <v>274</v>
      </c>
      <c r="O42" s="269"/>
      <c r="P42" s="269"/>
      <c r="Q42" s="269"/>
      <c r="R42" s="269"/>
      <c r="S42" s="269"/>
      <c r="T42" s="269"/>
      <c r="U42" s="269"/>
      <c r="V42" s="269"/>
      <c r="W42" s="307"/>
    </row>
    <row r="43" spans="1:23" s="21" customFormat="1" ht="15.75" customHeight="1" x14ac:dyDescent="0.15">
      <c r="A43" s="296"/>
      <c r="B43" s="297"/>
      <c r="C43" s="270"/>
      <c r="D43" s="271"/>
      <c r="E43" s="271"/>
      <c r="F43" s="271"/>
      <c r="G43" s="271"/>
      <c r="H43" s="270"/>
      <c r="I43" s="271"/>
      <c r="J43" s="271"/>
      <c r="K43" s="272"/>
      <c r="L43" s="309"/>
      <c r="M43" s="309"/>
      <c r="N43" s="270"/>
      <c r="O43" s="271"/>
      <c r="P43" s="271"/>
      <c r="Q43" s="271"/>
      <c r="R43" s="271"/>
      <c r="S43" s="271"/>
      <c r="T43" s="271"/>
      <c r="U43" s="271"/>
      <c r="V43" s="271"/>
      <c r="W43" s="308"/>
    </row>
    <row r="44" spans="1:23" s="21" customFormat="1" ht="24.95" customHeight="1" x14ac:dyDescent="0.15">
      <c r="A44" s="336" t="s">
        <v>39</v>
      </c>
      <c r="B44" s="337"/>
      <c r="C44" s="338" t="s">
        <v>71</v>
      </c>
      <c r="D44" s="338"/>
      <c r="E44" s="338"/>
      <c r="F44" s="338"/>
      <c r="G44" s="338"/>
      <c r="H44" s="324" t="s">
        <v>177</v>
      </c>
      <c r="I44" s="325"/>
      <c r="J44" s="325"/>
      <c r="K44" s="326"/>
      <c r="L44" s="339" t="s">
        <v>181</v>
      </c>
      <c r="M44" s="339"/>
      <c r="N44" s="340"/>
      <c r="O44" s="341"/>
      <c r="P44" s="341"/>
      <c r="Q44" s="341"/>
      <c r="R44" s="341"/>
      <c r="S44" s="341"/>
      <c r="T44" s="341"/>
      <c r="U44" s="341"/>
      <c r="V44" s="341"/>
      <c r="W44" s="342"/>
    </row>
    <row r="45" spans="1:23" s="21" customFormat="1" ht="24.95" customHeight="1" x14ac:dyDescent="0.15">
      <c r="A45" s="333" t="s">
        <v>47</v>
      </c>
      <c r="B45" s="334"/>
      <c r="C45" s="335" t="s">
        <v>61</v>
      </c>
      <c r="D45" s="335"/>
      <c r="E45" s="335"/>
      <c r="F45" s="335"/>
      <c r="G45" s="335"/>
      <c r="H45" s="327"/>
      <c r="I45" s="328"/>
      <c r="J45" s="328"/>
      <c r="K45" s="329"/>
      <c r="L45" s="349" t="s">
        <v>182</v>
      </c>
      <c r="M45" s="350"/>
      <c r="N45" s="343"/>
      <c r="O45" s="344"/>
      <c r="P45" s="344"/>
      <c r="Q45" s="344"/>
      <c r="R45" s="344"/>
      <c r="S45" s="344"/>
      <c r="T45" s="344"/>
      <c r="U45" s="344"/>
      <c r="V45" s="344"/>
      <c r="W45" s="345"/>
    </row>
    <row r="46" spans="1:23" s="21" customFormat="1" ht="24.95" customHeight="1" x14ac:dyDescent="0.15">
      <c r="A46" s="333" t="s">
        <v>48</v>
      </c>
      <c r="B46" s="334"/>
      <c r="C46" s="335" t="s">
        <v>61</v>
      </c>
      <c r="D46" s="335"/>
      <c r="E46" s="335"/>
      <c r="F46" s="335"/>
      <c r="G46" s="335"/>
      <c r="H46" s="327"/>
      <c r="I46" s="328"/>
      <c r="J46" s="328"/>
      <c r="K46" s="329"/>
      <c r="L46" s="349"/>
      <c r="M46" s="350"/>
      <c r="N46" s="343"/>
      <c r="O46" s="344"/>
      <c r="P46" s="344"/>
      <c r="Q46" s="344"/>
      <c r="R46" s="344"/>
      <c r="S46" s="344"/>
      <c r="T46" s="344"/>
      <c r="U46" s="344"/>
      <c r="V46" s="344"/>
      <c r="W46" s="345"/>
    </row>
    <row r="47" spans="1:23" s="21" customFormat="1" ht="24.95" customHeight="1" thickBot="1" x14ac:dyDescent="0.2">
      <c r="A47" s="320" t="s">
        <v>49</v>
      </c>
      <c r="B47" s="321"/>
      <c r="C47" s="322" t="s">
        <v>61</v>
      </c>
      <c r="D47" s="322"/>
      <c r="E47" s="322"/>
      <c r="F47" s="322"/>
      <c r="G47" s="322"/>
      <c r="H47" s="330"/>
      <c r="I47" s="331"/>
      <c r="J47" s="331"/>
      <c r="K47" s="332"/>
      <c r="L47" s="323" t="s">
        <v>276</v>
      </c>
      <c r="M47" s="323"/>
      <c r="N47" s="346"/>
      <c r="O47" s="347"/>
      <c r="P47" s="347"/>
      <c r="Q47" s="347"/>
      <c r="R47" s="347"/>
      <c r="S47" s="347"/>
      <c r="T47" s="347"/>
      <c r="U47" s="347"/>
      <c r="V47" s="347"/>
      <c r="W47" s="348"/>
    </row>
    <row r="48" spans="1:23" s="21" customFormat="1" ht="13.5" customHeight="1" x14ac:dyDescent="0.15">
      <c r="A48" s="316" t="s">
        <v>243</v>
      </c>
      <c r="B48" s="316"/>
      <c r="C48" s="316"/>
      <c r="D48" s="316"/>
      <c r="E48" s="316"/>
      <c r="F48" s="316"/>
      <c r="G48" s="22"/>
      <c r="H48" s="22"/>
      <c r="I48" s="22"/>
      <c r="J48" s="317" t="s">
        <v>50</v>
      </c>
      <c r="K48" s="317"/>
      <c r="L48" s="317"/>
      <c r="M48" s="317"/>
      <c r="N48" s="318"/>
      <c r="O48" s="318"/>
      <c r="P48" s="23"/>
      <c r="Q48" s="23"/>
      <c r="R48" s="23"/>
      <c r="S48" s="319" t="s">
        <v>51</v>
      </c>
      <c r="T48" s="319"/>
      <c r="U48" s="319"/>
      <c r="V48" s="319"/>
      <c r="W48" s="319"/>
    </row>
    <row r="49" spans="1:23" s="1" customFormat="1" ht="12.75" thickBot="1" x14ac:dyDescent="0.2">
      <c r="A49" s="24"/>
      <c r="B49" s="25"/>
      <c r="C49" s="25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1"/>
      <c r="V49" s="21"/>
      <c r="W49" s="21"/>
    </row>
    <row r="50" spans="1:23" x14ac:dyDescent="0.15">
      <c r="A50" s="148" t="s">
        <v>280</v>
      </c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50"/>
    </row>
    <row r="51" spans="1:23" ht="14.25" thickBot="1" x14ac:dyDescent="0.2">
      <c r="A51" s="151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3"/>
    </row>
    <row r="52" spans="1:23" ht="24.95" customHeight="1" thickBot="1" x14ac:dyDescent="0.2">
      <c r="A52" s="154" t="s">
        <v>281</v>
      </c>
      <c r="B52" s="155"/>
      <c r="C52" s="156" t="s">
        <v>282</v>
      </c>
      <c r="D52" s="157"/>
      <c r="E52" s="157" t="s">
        <v>283</v>
      </c>
      <c r="F52" s="157"/>
      <c r="G52" s="157" t="s">
        <v>284</v>
      </c>
      <c r="H52" s="157"/>
      <c r="I52" s="157" t="s">
        <v>285</v>
      </c>
      <c r="J52" s="157"/>
      <c r="K52" s="157" t="s">
        <v>286</v>
      </c>
      <c r="L52" s="158"/>
      <c r="M52" s="159" t="s">
        <v>287</v>
      </c>
      <c r="N52" s="160"/>
      <c r="O52" s="160"/>
      <c r="P52" s="160"/>
      <c r="Q52" s="160"/>
      <c r="R52" s="160"/>
      <c r="S52" s="160"/>
      <c r="T52" s="160"/>
      <c r="U52" s="160"/>
      <c r="V52" s="160"/>
      <c r="W52" s="161"/>
    </row>
    <row r="53" spans="1:23" ht="24.95" customHeight="1" x14ac:dyDescent="0.15">
      <c r="A53" s="162"/>
      <c r="B53" s="163"/>
      <c r="C53" s="164"/>
      <c r="D53" s="165"/>
      <c r="E53" s="165"/>
      <c r="F53" s="165"/>
      <c r="G53" s="165"/>
      <c r="H53" s="165"/>
      <c r="I53" s="165"/>
      <c r="J53" s="165"/>
      <c r="K53" s="165"/>
      <c r="L53" s="166"/>
      <c r="M53" s="167"/>
      <c r="N53" s="168"/>
      <c r="O53" s="168"/>
      <c r="P53" s="168"/>
      <c r="Q53" s="168"/>
      <c r="R53" s="168"/>
      <c r="S53" s="168"/>
      <c r="T53" s="168"/>
      <c r="U53" s="168"/>
      <c r="V53" s="168"/>
      <c r="W53" s="169"/>
    </row>
    <row r="54" spans="1:23" ht="24.95" customHeight="1" x14ac:dyDescent="0.15">
      <c r="A54" s="503"/>
      <c r="B54" s="504"/>
      <c r="C54" s="505"/>
      <c r="D54" s="506"/>
      <c r="E54" s="506"/>
      <c r="F54" s="506"/>
      <c r="G54" s="506"/>
      <c r="H54" s="506"/>
      <c r="I54" s="506"/>
      <c r="J54" s="506"/>
      <c r="K54" s="506"/>
      <c r="L54" s="507"/>
      <c r="M54" s="508"/>
      <c r="N54" s="509"/>
      <c r="O54" s="509"/>
      <c r="P54" s="509"/>
      <c r="Q54" s="509"/>
      <c r="R54" s="509"/>
      <c r="S54" s="509"/>
      <c r="T54" s="509"/>
      <c r="U54" s="509"/>
      <c r="V54" s="509"/>
      <c r="W54" s="510"/>
    </row>
    <row r="55" spans="1:23" ht="24.95" customHeight="1" x14ac:dyDescent="0.15">
      <c r="A55" s="503"/>
      <c r="B55" s="504"/>
      <c r="C55" s="505"/>
      <c r="D55" s="506"/>
      <c r="E55" s="506"/>
      <c r="F55" s="506"/>
      <c r="G55" s="506"/>
      <c r="H55" s="506"/>
      <c r="I55" s="506"/>
      <c r="J55" s="506"/>
      <c r="K55" s="506"/>
      <c r="L55" s="507"/>
      <c r="M55" s="508"/>
      <c r="N55" s="509"/>
      <c r="O55" s="509"/>
      <c r="P55" s="509"/>
      <c r="Q55" s="509"/>
      <c r="R55" s="509"/>
      <c r="S55" s="509"/>
      <c r="T55" s="509"/>
      <c r="U55" s="509"/>
      <c r="V55" s="509"/>
      <c r="W55" s="510"/>
    </row>
    <row r="56" spans="1:23" ht="24.95" customHeight="1" x14ac:dyDescent="0.15">
      <c r="A56" s="503"/>
      <c r="B56" s="504"/>
      <c r="C56" s="505"/>
      <c r="D56" s="506"/>
      <c r="E56" s="506"/>
      <c r="F56" s="506"/>
      <c r="G56" s="506"/>
      <c r="H56" s="506"/>
      <c r="I56" s="506"/>
      <c r="J56" s="506"/>
      <c r="K56" s="506"/>
      <c r="L56" s="507"/>
      <c r="M56" s="508"/>
      <c r="N56" s="509"/>
      <c r="O56" s="509"/>
      <c r="P56" s="509"/>
      <c r="Q56" s="509"/>
      <c r="R56" s="509"/>
      <c r="S56" s="509"/>
      <c r="T56" s="509"/>
      <c r="U56" s="509"/>
      <c r="V56" s="509"/>
      <c r="W56" s="510"/>
    </row>
    <row r="57" spans="1:23" ht="24.95" customHeight="1" x14ac:dyDescent="0.15">
      <c r="A57" s="503"/>
      <c r="B57" s="504"/>
      <c r="C57" s="505"/>
      <c r="D57" s="506"/>
      <c r="E57" s="506"/>
      <c r="F57" s="506"/>
      <c r="G57" s="506"/>
      <c r="H57" s="506"/>
      <c r="I57" s="506"/>
      <c r="J57" s="506"/>
      <c r="K57" s="506"/>
      <c r="L57" s="507"/>
      <c r="M57" s="508"/>
      <c r="N57" s="509"/>
      <c r="O57" s="509"/>
      <c r="P57" s="509"/>
      <c r="Q57" s="509"/>
      <c r="R57" s="509"/>
      <c r="S57" s="509"/>
      <c r="T57" s="509"/>
      <c r="U57" s="509"/>
      <c r="V57" s="509"/>
      <c r="W57" s="510"/>
    </row>
    <row r="58" spans="1:23" ht="24.95" customHeight="1" x14ac:dyDescent="0.15">
      <c r="A58" s="503"/>
      <c r="B58" s="504"/>
      <c r="C58" s="505"/>
      <c r="D58" s="506"/>
      <c r="E58" s="506"/>
      <c r="F58" s="506"/>
      <c r="G58" s="506"/>
      <c r="H58" s="506"/>
      <c r="I58" s="506"/>
      <c r="J58" s="506"/>
      <c r="K58" s="506"/>
      <c r="L58" s="507"/>
      <c r="M58" s="508"/>
      <c r="N58" s="509"/>
      <c r="O58" s="509"/>
      <c r="P58" s="509"/>
      <c r="Q58" s="509"/>
      <c r="R58" s="509"/>
      <c r="S58" s="509"/>
      <c r="T58" s="509"/>
      <c r="U58" s="509"/>
      <c r="V58" s="509"/>
      <c r="W58" s="510"/>
    </row>
    <row r="59" spans="1:23" ht="24.95" customHeight="1" x14ac:dyDescent="0.15">
      <c r="A59" s="503"/>
      <c r="B59" s="504"/>
      <c r="C59" s="505"/>
      <c r="D59" s="506"/>
      <c r="E59" s="506"/>
      <c r="F59" s="506"/>
      <c r="G59" s="506"/>
      <c r="H59" s="506"/>
      <c r="I59" s="506"/>
      <c r="J59" s="506"/>
      <c r="K59" s="506"/>
      <c r="L59" s="507"/>
      <c r="M59" s="508"/>
      <c r="N59" s="509"/>
      <c r="O59" s="509"/>
      <c r="P59" s="509"/>
      <c r="Q59" s="509"/>
      <c r="R59" s="509"/>
      <c r="S59" s="509"/>
      <c r="T59" s="509"/>
      <c r="U59" s="509"/>
      <c r="V59" s="509"/>
      <c r="W59" s="510"/>
    </row>
    <row r="60" spans="1:23" ht="24.95" customHeight="1" x14ac:dyDescent="0.15">
      <c r="A60" s="503"/>
      <c r="B60" s="504"/>
      <c r="C60" s="505"/>
      <c r="D60" s="506"/>
      <c r="E60" s="506"/>
      <c r="F60" s="506"/>
      <c r="G60" s="506"/>
      <c r="H60" s="506"/>
      <c r="I60" s="506"/>
      <c r="J60" s="506"/>
      <c r="K60" s="506"/>
      <c r="L60" s="507"/>
      <c r="M60" s="508"/>
      <c r="N60" s="509"/>
      <c r="O60" s="509"/>
      <c r="P60" s="509"/>
      <c r="Q60" s="509"/>
      <c r="R60" s="509"/>
      <c r="S60" s="509"/>
      <c r="T60" s="509"/>
      <c r="U60" s="509"/>
      <c r="V60" s="509"/>
      <c r="W60" s="510"/>
    </row>
    <row r="61" spans="1:23" ht="24.95" customHeight="1" x14ac:dyDescent="0.15">
      <c r="A61" s="503"/>
      <c r="B61" s="504"/>
      <c r="C61" s="505"/>
      <c r="D61" s="506"/>
      <c r="E61" s="506"/>
      <c r="F61" s="506"/>
      <c r="G61" s="506"/>
      <c r="H61" s="506"/>
      <c r="I61" s="506"/>
      <c r="J61" s="506"/>
      <c r="K61" s="506"/>
      <c r="L61" s="507"/>
      <c r="M61" s="508"/>
      <c r="N61" s="509"/>
      <c r="O61" s="509"/>
      <c r="P61" s="509"/>
      <c r="Q61" s="509"/>
      <c r="R61" s="509"/>
      <c r="S61" s="509"/>
      <c r="T61" s="509"/>
      <c r="U61" s="509"/>
      <c r="V61" s="509"/>
      <c r="W61" s="510"/>
    </row>
    <row r="62" spans="1:23" ht="24.95" customHeight="1" x14ac:dyDescent="0.15">
      <c r="A62" s="503"/>
      <c r="B62" s="504"/>
      <c r="C62" s="505"/>
      <c r="D62" s="506"/>
      <c r="E62" s="506"/>
      <c r="F62" s="506"/>
      <c r="G62" s="506"/>
      <c r="H62" s="506"/>
      <c r="I62" s="506"/>
      <c r="J62" s="506"/>
      <c r="K62" s="506"/>
      <c r="L62" s="507"/>
      <c r="M62" s="508"/>
      <c r="N62" s="509"/>
      <c r="O62" s="509"/>
      <c r="P62" s="509"/>
      <c r="Q62" s="509"/>
      <c r="R62" s="509"/>
      <c r="S62" s="509"/>
      <c r="T62" s="509"/>
      <c r="U62" s="509"/>
      <c r="V62" s="509"/>
      <c r="W62" s="510"/>
    </row>
    <row r="63" spans="1:23" ht="24.95" customHeight="1" x14ac:dyDescent="0.15">
      <c r="A63" s="503"/>
      <c r="B63" s="504"/>
      <c r="C63" s="505"/>
      <c r="D63" s="506"/>
      <c r="E63" s="506"/>
      <c r="F63" s="506"/>
      <c r="G63" s="506"/>
      <c r="H63" s="506"/>
      <c r="I63" s="506"/>
      <c r="J63" s="506"/>
      <c r="K63" s="506"/>
      <c r="L63" s="507"/>
      <c r="M63" s="508"/>
      <c r="N63" s="509"/>
      <c r="O63" s="509"/>
      <c r="P63" s="509"/>
      <c r="Q63" s="509"/>
      <c r="R63" s="509"/>
      <c r="S63" s="509"/>
      <c r="T63" s="509"/>
      <c r="U63" s="509"/>
      <c r="V63" s="509"/>
      <c r="W63" s="510"/>
    </row>
    <row r="64" spans="1:23" ht="24.95" customHeight="1" x14ac:dyDescent="0.15">
      <c r="A64" s="503"/>
      <c r="B64" s="504"/>
      <c r="C64" s="505"/>
      <c r="D64" s="506"/>
      <c r="E64" s="506"/>
      <c r="F64" s="506"/>
      <c r="G64" s="506"/>
      <c r="H64" s="506"/>
      <c r="I64" s="506"/>
      <c r="J64" s="506"/>
      <c r="K64" s="506"/>
      <c r="L64" s="507"/>
      <c r="M64" s="508"/>
      <c r="N64" s="509"/>
      <c r="O64" s="509"/>
      <c r="P64" s="509"/>
      <c r="Q64" s="509"/>
      <c r="R64" s="509"/>
      <c r="S64" s="509"/>
      <c r="T64" s="509"/>
      <c r="U64" s="509"/>
      <c r="V64" s="509"/>
      <c r="W64" s="510"/>
    </row>
    <row r="65" spans="1:23" ht="24.95" customHeight="1" x14ac:dyDescent="0.15">
      <c r="A65" s="503"/>
      <c r="B65" s="504"/>
      <c r="C65" s="505"/>
      <c r="D65" s="506"/>
      <c r="E65" s="506"/>
      <c r="F65" s="506"/>
      <c r="G65" s="506"/>
      <c r="H65" s="506"/>
      <c r="I65" s="506"/>
      <c r="J65" s="506"/>
      <c r="K65" s="506"/>
      <c r="L65" s="507"/>
      <c r="M65" s="508"/>
      <c r="N65" s="509"/>
      <c r="O65" s="509"/>
      <c r="P65" s="509"/>
      <c r="Q65" s="509"/>
      <c r="R65" s="509"/>
      <c r="S65" s="509"/>
      <c r="T65" s="509"/>
      <c r="U65" s="509"/>
      <c r="V65" s="509"/>
      <c r="W65" s="510"/>
    </row>
    <row r="66" spans="1:23" ht="24.95" customHeight="1" x14ac:dyDescent="0.15">
      <c r="A66" s="503"/>
      <c r="B66" s="504"/>
      <c r="C66" s="505"/>
      <c r="D66" s="506"/>
      <c r="E66" s="506"/>
      <c r="F66" s="506"/>
      <c r="G66" s="506"/>
      <c r="H66" s="506"/>
      <c r="I66" s="506"/>
      <c r="J66" s="506"/>
      <c r="K66" s="506"/>
      <c r="L66" s="507"/>
      <c r="M66" s="508"/>
      <c r="N66" s="509"/>
      <c r="O66" s="509"/>
      <c r="P66" s="509"/>
      <c r="Q66" s="509"/>
      <c r="R66" s="509"/>
      <c r="S66" s="509"/>
      <c r="T66" s="509"/>
      <c r="U66" s="509"/>
      <c r="V66" s="509"/>
      <c r="W66" s="510"/>
    </row>
    <row r="67" spans="1:23" ht="24.95" customHeight="1" x14ac:dyDescent="0.15">
      <c r="A67" s="503"/>
      <c r="B67" s="504"/>
      <c r="C67" s="505"/>
      <c r="D67" s="506"/>
      <c r="E67" s="506"/>
      <c r="F67" s="506"/>
      <c r="G67" s="506"/>
      <c r="H67" s="506"/>
      <c r="I67" s="506"/>
      <c r="J67" s="506"/>
      <c r="K67" s="506"/>
      <c r="L67" s="507"/>
      <c r="M67" s="508"/>
      <c r="N67" s="509"/>
      <c r="O67" s="509"/>
      <c r="P67" s="509"/>
      <c r="Q67" s="509"/>
      <c r="R67" s="509"/>
      <c r="S67" s="509"/>
      <c r="T67" s="509"/>
      <c r="U67" s="509"/>
      <c r="V67" s="509"/>
      <c r="W67" s="510"/>
    </row>
    <row r="68" spans="1:23" ht="24.95" customHeight="1" x14ac:dyDescent="0.15">
      <c r="A68" s="122"/>
      <c r="B68" s="123"/>
      <c r="C68" s="505"/>
      <c r="D68" s="506"/>
      <c r="E68" s="506"/>
      <c r="F68" s="506"/>
      <c r="G68" s="506"/>
      <c r="H68" s="506"/>
      <c r="I68" s="506"/>
      <c r="J68" s="506"/>
      <c r="K68" s="506"/>
      <c r="L68" s="507"/>
      <c r="M68" s="124"/>
      <c r="N68" s="125"/>
      <c r="O68" s="125"/>
      <c r="P68" s="125"/>
      <c r="Q68" s="125"/>
      <c r="R68" s="125"/>
      <c r="S68" s="125"/>
      <c r="T68" s="125"/>
      <c r="U68" s="125"/>
      <c r="V68" s="125"/>
      <c r="W68" s="126"/>
    </row>
    <row r="69" spans="1:23" ht="24.95" customHeight="1" x14ac:dyDescent="0.15">
      <c r="A69" s="503"/>
      <c r="B69" s="504"/>
      <c r="C69" s="505"/>
      <c r="D69" s="506"/>
      <c r="E69" s="506"/>
      <c r="F69" s="506"/>
      <c r="G69" s="506"/>
      <c r="H69" s="506"/>
      <c r="I69" s="506"/>
      <c r="J69" s="506"/>
      <c r="K69" s="506"/>
      <c r="L69" s="507"/>
      <c r="M69" s="508"/>
      <c r="N69" s="509"/>
      <c r="O69" s="509"/>
      <c r="P69" s="509"/>
      <c r="Q69" s="509"/>
      <c r="R69" s="509"/>
      <c r="S69" s="509"/>
      <c r="T69" s="509"/>
      <c r="U69" s="509"/>
      <c r="V69" s="509"/>
      <c r="W69" s="510"/>
    </row>
    <row r="70" spans="1:23" ht="24.95" customHeight="1" thickBot="1" x14ac:dyDescent="0.2">
      <c r="A70" s="516"/>
      <c r="B70" s="517"/>
      <c r="C70" s="518"/>
      <c r="D70" s="519"/>
      <c r="E70" s="519"/>
      <c r="F70" s="519"/>
      <c r="G70" s="519"/>
      <c r="H70" s="519"/>
      <c r="I70" s="519"/>
      <c r="J70" s="519"/>
      <c r="K70" s="519"/>
      <c r="L70" s="520"/>
      <c r="M70" s="521"/>
      <c r="N70" s="522"/>
      <c r="O70" s="522"/>
      <c r="P70" s="522"/>
      <c r="Q70" s="522"/>
      <c r="R70" s="522"/>
      <c r="S70" s="522"/>
      <c r="T70" s="522"/>
      <c r="U70" s="522"/>
      <c r="V70" s="522"/>
      <c r="W70" s="523"/>
    </row>
    <row r="71" spans="1:23" ht="14.25" thickBot="1" x14ac:dyDescent="0.2">
      <c r="A71" s="127"/>
      <c r="B71" s="128"/>
      <c r="C71" s="129"/>
      <c r="D71" s="129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28"/>
      <c r="S71" s="128"/>
      <c r="T71" s="128"/>
      <c r="U71" s="128"/>
      <c r="V71" s="130"/>
      <c r="W71" s="131"/>
    </row>
    <row r="72" spans="1:23" s="1" customFormat="1" ht="12" customHeight="1" x14ac:dyDescent="0.15">
      <c r="A72" s="135" t="s">
        <v>208</v>
      </c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7"/>
    </row>
    <row r="73" spans="1:23" s="1" customFormat="1" ht="33.75" customHeight="1" x14ac:dyDescent="0.15">
      <c r="A73" s="138"/>
      <c r="B73" s="139"/>
      <c r="C73" s="139"/>
      <c r="D73" s="139"/>
      <c r="E73" s="139"/>
      <c r="F73" s="139"/>
      <c r="G73" s="139"/>
      <c r="H73" s="139"/>
      <c r="I73" s="139"/>
      <c r="J73" s="139"/>
      <c r="K73" s="139"/>
      <c r="L73" s="139"/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40"/>
    </row>
    <row r="74" spans="1:23" s="1" customFormat="1" ht="13.5" customHeight="1" x14ac:dyDescent="0.15">
      <c r="A74" s="132" t="s">
        <v>209</v>
      </c>
      <c r="B74" s="133"/>
      <c r="C74" s="133" t="s">
        <v>198</v>
      </c>
      <c r="D74" s="133"/>
      <c r="E74" s="133" t="s">
        <v>199</v>
      </c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 t="s">
        <v>200</v>
      </c>
      <c r="S74" s="133"/>
      <c r="T74" s="133" t="s">
        <v>201</v>
      </c>
      <c r="U74" s="133"/>
      <c r="V74" s="133" t="s">
        <v>197</v>
      </c>
      <c r="W74" s="141"/>
    </row>
    <row r="75" spans="1:23" s="1" customFormat="1" ht="13.5" customHeight="1" x14ac:dyDescent="0.15">
      <c r="A75" s="132"/>
      <c r="B75" s="133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41"/>
    </row>
    <row r="76" spans="1:23" x14ac:dyDescent="0.15">
      <c r="A76" s="142" t="s">
        <v>210</v>
      </c>
      <c r="B76" s="143"/>
      <c r="C76" s="134" t="s">
        <v>206</v>
      </c>
      <c r="D76" s="134"/>
      <c r="E76" s="134" t="s">
        <v>202</v>
      </c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3" t="s">
        <v>205</v>
      </c>
      <c r="S76" s="133"/>
      <c r="T76" s="144"/>
      <c r="U76" s="144"/>
      <c r="V76" s="133" t="s">
        <v>288</v>
      </c>
      <c r="W76" s="141"/>
    </row>
    <row r="77" spans="1:23" x14ac:dyDescent="0.15">
      <c r="A77" s="142"/>
      <c r="B77" s="143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3"/>
      <c r="S77" s="133"/>
      <c r="T77" s="144"/>
      <c r="U77" s="144"/>
      <c r="V77" s="133"/>
      <c r="W77" s="141"/>
    </row>
    <row r="78" spans="1:23" ht="13.5" customHeight="1" x14ac:dyDescent="0.15">
      <c r="A78" s="132">
        <v>1</v>
      </c>
      <c r="B78" s="133"/>
      <c r="C78" s="134" t="s">
        <v>289</v>
      </c>
      <c r="D78" s="134"/>
      <c r="E78" s="145" t="s">
        <v>290</v>
      </c>
      <c r="F78" s="145"/>
      <c r="G78" s="145"/>
      <c r="H78" s="145"/>
      <c r="I78" s="145"/>
      <c r="J78" s="145"/>
      <c r="K78" s="145"/>
      <c r="L78" s="145"/>
      <c r="M78" s="145"/>
      <c r="N78" s="145"/>
      <c r="O78" s="145"/>
      <c r="P78" s="145"/>
      <c r="Q78" s="145"/>
      <c r="R78" s="133" t="s">
        <v>291</v>
      </c>
      <c r="S78" s="133"/>
      <c r="T78" s="144"/>
      <c r="U78" s="144"/>
      <c r="V78" s="133" t="s">
        <v>292</v>
      </c>
      <c r="W78" s="141"/>
    </row>
    <row r="79" spans="1:23" ht="13.5" customHeight="1" x14ac:dyDescent="0.15">
      <c r="A79" s="132"/>
      <c r="B79" s="133"/>
      <c r="C79" s="134"/>
      <c r="D79" s="134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33"/>
      <c r="S79" s="133"/>
      <c r="T79" s="144"/>
      <c r="U79" s="144"/>
      <c r="V79" s="133"/>
      <c r="W79" s="141"/>
    </row>
    <row r="80" spans="1:23" x14ac:dyDescent="0.15">
      <c r="A80" s="132"/>
      <c r="B80" s="133"/>
      <c r="C80" s="134"/>
      <c r="D80" s="134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33"/>
      <c r="S80" s="133"/>
      <c r="T80" s="144"/>
      <c r="U80" s="144"/>
      <c r="V80" s="133"/>
      <c r="W80" s="141"/>
    </row>
    <row r="81" spans="1:23" x14ac:dyDescent="0.15">
      <c r="A81" s="132">
        <v>2</v>
      </c>
      <c r="B81" s="133"/>
      <c r="C81" s="134"/>
      <c r="D81" s="134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33"/>
      <c r="S81" s="133"/>
      <c r="T81" s="133"/>
      <c r="U81" s="133"/>
      <c r="V81" s="146"/>
      <c r="W81" s="147"/>
    </row>
    <row r="82" spans="1:23" x14ac:dyDescent="0.15">
      <c r="A82" s="132"/>
      <c r="B82" s="133"/>
      <c r="C82" s="134"/>
      <c r="D82" s="134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33"/>
      <c r="S82" s="133"/>
      <c r="T82" s="133"/>
      <c r="U82" s="133"/>
      <c r="V82" s="146"/>
      <c r="W82" s="147"/>
    </row>
    <row r="83" spans="1:23" x14ac:dyDescent="0.15">
      <c r="A83" s="132">
        <v>3</v>
      </c>
      <c r="B83" s="133"/>
      <c r="C83" s="134"/>
      <c r="D83" s="134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33"/>
      <c r="S83" s="133"/>
      <c r="T83" s="133"/>
      <c r="U83" s="133"/>
      <c r="V83" s="146"/>
      <c r="W83" s="147"/>
    </row>
    <row r="84" spans="1:23" x14ac:dyDescent="0.15">
      <c r="A84" s="132"/>
      <c r="B84" s="133"/>
      <c r="C84" s="134"/>
      <c r="D84" s="134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33"/>
      <c r="S84" s="133"/>
      <c r="T84" s="133"/>
      <c r="U84" s="133"/>
      <c r="V84" s="146"/>
      <c r="W84" s="147"/>
    </row>
    <row r="85" spans="1:23" x14ac:dyDescent="0.15">
      <c r="A85" s="132">
        <v>4</v>
      </c>
      <c r="B85" s="133"/>
      <c r="C85" s="134"/>
      <c r="D85" s="134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33"/>
      <c r="S85" s="133"/>
      <c r="T85" s="133"/>
      <c r="U85" s="133"/>
      <c r="V85" s="146"/>
      <c r="W85" s="147"/>
    </row>
    <row r="86" spans="1:23" x14ac:dyDescent="0.15">
      <c r="A86" s="132"/>
      <c r="B86" s="133"/>
      <c r="C86" s="134"/>
      <c r="D86" s="134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33"/>
      <c r="S86" s="133"/>
      <c r="T86" s="133"/>
      <c r="U86" s="133"/>
      <c r="V86" s="146"/>
      <c r="W86" s="147"/>
    </row>
    <row r="87" spans="1:23" x14ac:dyDescent="0.15">
      <c r="A87" s="132">
        <v>5</v>
      </c>
      <c r="B87" s="133"/>
      <c r="C87" s="134"/>
      <c r="D87" s="134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33"/>
      <c r="S87" s="133"/>
      <c r="T87" s="133"/>
      <c r="U87" s="133"/>
      <c r="V87" s="146"/>
      <c r="W87" s="147"/>
    </row>
    <row r="88" spans="1:23" ht="14.25" thickBot="1" x14ac:dyDescent="0.2">
      <c r="A88" s="511"/>
      <c r="B88" s="512"/>
      <c r="C88" s="513"/>
      <c r="D88" s="513"/>
      <c r="E88" s="514"/>
      <c r="F88" s="514"/>
      <c r="G88" s="514"/>
      <c r="H88" s="514"/>
      <c r="I88" s="514"/>
      <c r="J88" s="514"/>
      <c r="K88" s="514"/>
      <c r="L88" s="514"/>
      <c r="M88" s="514"/>
      <c r="N88" s="514"/>
      <c r="O88" s="514"/>
      <c r="P88" s="514"/>
      <c r="Q88" s="514"/>
      <c r="R88" s="512"/>
      <c r="S88" s="512"/>
      <c r="T88" s="512"/>
      <c r="U88" s="512"/>
      <c r="V88" s="514"/>
      <c r="W88" s="515"/>
    </row>
  </sheetData>
  <mergeCells count="348">
    <mergeCell ref="A87:B88"/>
    <mergeCell ref="C87:D88"/>
    <mergeCell ref="E87:Q88"/>
    <mergeCell ref="R87:S88"/>
    <mergeCell ref="T87:U88"/>
    <mergeCell ref="V87:W88"/>
    <mergeCell ref="A69:B69"/>
    <mergeCell ref="C69:D69"/>
    <mergeCell ref="E69:F69"/>
    <mergeCell ref="G69:H69"/>
    <mergeCell ref="I69:J69"/>
    <mergeCell ref="K69:L69"/>
    <mergeCell ref="M69:W69"/>
    <mergeCell ref="A70:B70"/>
    <mergeCell ref="C70:D70"/>
    <mergeCell ref="E70:F70"/>
    <mergeCell ref="G70:H70"/>
    <mergeCell ref="I70:J70"/>
    <mergeCell ref="K70:L70"/>
    <mergeCell ref="M70:W70"/>
    <mergeCell ref="R81:S82"/>
    <mergeCell ref="R83:S84"/>
    <mergeCell ref="A78:B80"/>
    <mergeCell ref="C78:D80"/>
    <mergeCell ref="A67:B67"/>
    <mergeCell ref="C67:D67"/>
    <mergeCell ref="E67:F67"/>
    <mergeCell ref="G67:H67"/>
    <mergeCell ref="I67:J67"/>
    <mergeCell ref="K67:L67"/>
    <mergeCell ref="M67:W67"/>
    <mergeCell ref="C68:D68"/>
    <mergeCell ref="E68:F68"/>
    <mergeCell ref="G68:H68"/>
    <mergeCell ref="I68:J68"/>
    <mergeCell ref="K68:L68"/>
    <mergeCell ref="A65:B65"/>
    <mergeCell ref="C65:D65"/>
    <mergeCell ref="E65:F65"/>
    <mergeCell ref="G65:H65"/>
    <mergeCell ref="I65:J65"/>
    <mergeCell ref="K65:L65"/>
    <mergeCell ref="M65:W65"/>
    <mergeCell ref="A66:B66"/>
    <mergeCell ref="C66:D66"/>
    <mergeCell ref="E66:F66"/>
    <mergeCell ref="G66:H66"/>
    <mergeCell ref="I66:J66"/>
    <mergeCell ref="K66:L66"/>
    <mergeCell ref="M66:W66"/>
    <mergeCell ref="A63:B63"/>
    <mergeCell ref="C63:D63"/>
    <mergeCell ref="E63:F63"/>
    <mergeCell ref="G63:H63"/>
    <mergeCell ref="I63:J63"/>
    <mergeCell ref="K63:L63"/>
    <mergeCell ref="M63:W63"/>
    <mergeCell ref="A64:B64"/>
    <mergeCell ref="C64:D64"/>
    <mergeCell ref="E64:F64"/>
    <mergeCell ref="G64:H64"/>
    <mergeCell ref="I64:J64"/>
    <mergeCell ref="K64:L64"/>
    <mergeCell ref="M64:W64"/>
    <mergeCell ref="A61:B61"/>
    <mergeCell ref="C61:D61"/>
    <mergeCell ref="E61:F61"/>
    <mergeCell ref="G61:H61"/>
    <mergeCell ref="I61:J61"/>
    <mergeCell ref="K61:L61"/>
    <mergeCell ref="M61:W61"/>
    <mergeCell ref="A62:B62"/>
    <mergeCell ref="C62:D62"/>
    <mergeCell ref="E62:F62"/>
    <mergeCell ref="G62:H62"/>
    <mergeCell ref="I62:J62"/>
    <mergeCell ref="K62:L62"/>
    <mergeCell ref="M62:W62"/>
    <mergeCell ref="A59:B59"/>
    <mergeCell ref="C59:D59"/>
    <mergeCell ref="E59:F59"/>
    <mergeCell ref="G59:H59"/>
    <mergeCell ref="I59:J59"/>
    <mergeCell ref="K59:L59"/>
    <mergeCell ref="M59:W59"/>
    <mergeCell ref="A60:B60"/>
    <mergeCell ref="C60:D60"/>
    <mergeCell ref="E60:F60"/>
    <mergeCell ref="G60:H60"/>
    <mergeCell ref="I60:J60"/>
    <mergeCell ref="K60:L60"/>
    <mergeCell ref="M60:W60"/>
    <mergeCell ref="A57:B57"/>
    <mergeCell ref="C57:D57"/>
    <mergeCell ref="E57:F57"/>
    <mergeCell ref="G57:H57"/>
    <mergeCell ref="I57:J57"/>
    <mergeCell ref="K57:L57"/>
    <mergeCell ref="M57:W57"/>
    <mergeCell ref="A58:B58"/>
    <mergeCell ref="C58:D58"/>
    <mergeCell ref="E58:F58"/>
    <mergeCell ref="G58:H58"/>
    <mergeCell ref="I58:J58"/>
    <mergeCell ref="K58:L58"/>
    <mergeCell ref="M58:W58"/>
    <mergeCell ref="A56:B56"/>
    <mergeCell ref="C56:D56"/>
    <mergeCell ref="E56:F56"/>
    <mergeCell ref="G56:H56"/>
    <mergeCell ref="I56:J56"/>
    <mergeCell ref="K56:L56"/>
    <mergeCell ref="M56:W56"/>
    <mergeCell ref="A55:B55"/>
    <mergeCell ref="C55:D55"/>
    <mergeCell ref="E55:F55"/>
    <mergeCell ref="A54:B54"/>
    <mergeCell ref="C54:D54"/>
    <mergeCell ref="E54:F54"/>
    <mergeCell ref="G54:H54"/>
    <mergeCell ref="I54:J54"/>
    <mergeCell ref="K54:L54"/>
    <mergeCell ref="M54:W54"/>
    <mergeCell ref="G55:H55"/>
    <mergeCell ref="I55:J55"/>
    <mergeCell ref="K55:L55"/>
    <mergeCell ref="M55:W55"/>
    <mergeCell ref="D19:F19"/>
    <mergeCell ref="G19:I19"/>
    <mergeCell ref="M19:O19"/>
    <mergeCell ref="A20:C20"/>
    <mergeCell ref="D20:F20"/>
    <mergeCell ref="A21:C21"/>
    <mergeCell ref="D21:F21"/>
    <mergeCell ref="A19:C19"/>
    <mergeCell ref="J19:L19"/>
    <mergeCell ref="S20:T20"/>
    <mergeCell ref="A22:C22"/>
    <mergeCell ref="A25:B27"/>
    <mergeCell ref="O26:P27"/>
    <mergeCell ref="G21:L21"/>
    <mergeCell ref="M21:O21"/>
    <mergeCell ref="G20:I20"/>
    <mergeCell ref="J20:L20"/>
    <mergeCell ref="M20:O20"/>
    <mergeCell ref="D22:O22"/>
    <mergeCell ref="O25:P25"/>
    <mergeCell ref="L25:L27"/>
    <mergeCell ref="N27:N31"/>
    <mergeCell ref="I25:K25"/>
    <mergeCell ref="I26:K26"/>
    <mergeCell ref="N25:N26"/>
    <mergeCell ref="O28:P31"/>
    <mergeCell ref="A28:M29"/>
    <mergeCell ref="I27:K27"/>
    <mergeCell ref="Q25:Q26"/>
    <mergeCell ref="Q27:Q31"/>
    <mergeCell ref="R30:T31"/>
    <mergeCell ref="N1:O2"/>
    <mergeCell ref="P1:W2"/>
    <mergeCell ref="A5:B5"/>
    <mergeCell ref="C5:G5"/>
    <mergeCell ref="H5:I5"/>
    <mergeCell ref="J5:M5"/>
    <mergeCell ref="A4:B4"/>
    <mergeCell ref="C4:G4"/>
    <mergeCell ref="H4:I4"/>
    <mergeCell ref="J4:M4"/>
    <mergeCell ref="D3:M3"/>
    <mergeCell ref="A1:H2"/>
    <mergeCell ref="K1:M2"/>
    <mergeCell ref="I1:J2"/>
    <mergeCell ref="A3:C3"/>
    <mergeCell ref="N3:O3"/>
    <mergeCell ref="P3:R3"/>
    <mergeCell ref="S3:W3"/>
    <mergeCell ref="N4:O5"/>
    <mergeCell ref="V4:W5"/>
    <mergeCell ref="P4:U5"/>
    <mergeCell ref="A10:C10"/>
    <mergeCell ref="D10:E10"/>
    <mergeCell ref="I12:J13"/>
    <mergeCell ref="K12:K13"/>
    <mergeCell ref="D18:F18"/>
    <mergeCell ref="G18:I18"/>
    <mergeCell ref="J18:L18"/>
    <mergeCell ref="M18:O18"/>
    <mergeCell ref="S18:W18"/>
    <mergeCell ref="A16:B18"/>
    <mergeCell ref="D16:F16"/>
    <mergeCell ref="G16:I16"/>
    <mergeCell ref="S17:W17"/>
    <mergeCell ref="J16:L16"/>
    <mergeCell ref="M16:O16"/>
    <mergeCell ref="P16:R17"/>
    <mergeCell ref="U15:W16"/>
    <mergeCell ref="W23:W24"/>
    <mergeCell ref="T24:V24"/>
    <mergeCell ref="D27:F27"/>
    <mergeCell ref="G25:H27"/>
    <mergeCell ref="V32:W33"/>
    <mergeCell ref="D25:F25"/>
    <mergeCell ref="D26:F26"/>
    <mergeCell ref="B12:C13"/>
    <mergeCell ref="L12:M13"/>
    <mergeCell ref="O12:P13"/>
    <mergeCell ref="S12:T13"/>
    <mergeCell ref="E12:F13"/>
    <mergeCell ref="R29:T29"/>
    <mergeCell ref="R27:T27"/>
    <mergeCell ref="U30:W31"/>
    <mergeCell ref="U28:W28"/>
    <mergeCell ref="A23:C23"/>
    <mergeCell ref="D23:O23"/>
    <mergeCell ref="S19:W19"/>
    <mergeCell ref="T22:V22"/>
    <mergeCell ref="S23:S24"/>
    <mergeCell ref="U20:W20"/>
    <mergeCell ref="S21:T21"/>
    <mergeCell ref="U21:W21"/>
    <mergeCell ref="A48:F48"/>
    <mergeCell ref="J48:O48"/>
    <mergeCell ref="S48:W48"/>
    <mergeCell ref="A47:B47"/>
    <mergeCell ref="C47:G47"/>
    <mergeCell ref="L47:M47"/>
    <mergeCell ref="H44:K47"/>
    <mergeCell ref="A46:B46"/>
    <mergeCell ref="C46:G46"/>
    <mergeCell ref="A45:B45"/>
    <mergeCell ref="C45:G45"/>
    <mergeCell ref="A44:B44"/>
    <mergeCell ref="C44:G44"/>
    <mergeCell ref="L44:M44"/>
    <mergeCell ref="N44:W47"/>
    <mergeCell ref="L45:M46"/>
    <mergeCell ref="U25:V26"/>
    <mergeCell ref="W25:W26"/>
    <mergeCell ref="R25:S26"/>
    <mergeCell ref="T25:T26"/>
    <mergeCell ref="C42:G43"/>
    <mergeCell ref="H42:K43"/>
    <mergeCell ref="N35:W36"/>
    <mergeCell ref="T32:U33"/>
    <mergeCell ref="R28:T28"/>
    <mergeCell ref="S32:S33"/>
    <mergeCell ref="N34:W34"/>
    <mergeCell ref="N32:R33"/>
    <mergeCell ref="A41:W41"/>
    <mergeCell ref="A42:B43"/>
    <mergeCell ref="N37:W37"/>
    <mergeCell ref="N38:W38"/>
    <mergeCell ref="N39:W39"/>
    <mergeCell ref="N40:W40"/>
    <mergeCell ref="N42:W43"/>
    <mergeCell ref="L42:M43"/>
    <mergeCell ref="U27:W27"/>
    <mergeCell ref="U29:W29"/>
    <mergeCell ref="A6:C6"/>
    <mergeCell ref="D6:F6"/>
    <mergeCell ref="G6:I6"/>
    <mergeCell ref="J6:L6"/>
    <mergeCell ref="M6:O6"/>
    <mergeCell ref="A9:E9"/>
    <mergeCell ref="F9:L9"/>
    <mergeCell ref="M9:R9"/>
    <mergeCell ref="A11:E11"/>
    <mergeCell ref="H11:J11"/>
    <mergeCell ref="K10:M11"/>
    <mergeCell ref="F10:G11"/>
    <mergeCell ref="H10:I10"/>
    <mergeCell ref="A7:A8"/>
    <mergeCell ref="B7:C8"/>
    <mergeCell ref="D7:D8"/>
    <mergeCell ref="E7:F8"/>
    <mergeCell ref="G7:G8"/>
    <mergeCell ref="P6:R6"/>
    <mergeCell ref="H7:I8"/>
    <mergeCell ref="J7:J8"/>
    <mergeCell ref="K7:L8"/>
    <mergeCell ref="M7:M8"/>
    <mergeCell ref="N7:O8"/>
    <mergeCell ref="S6:T6"/>
    <mergeCell ref="U6:W6"/>
    <mergeCell ref="R12:R15"/>
    <mergeCell ref="N10:Q11"/>
    <mergeCell ref="R10:W10"/>
    <mergeCell ref="R11:T11"/>
    <mergeCell ref="U11:W11"/>
    <mergeCell ref="S15:T16"/>
    <mergeCell ref="S7:T7"/>
    <mergeCell ref="U7:W7"/>
    <mergeCell ref="S8:T9"/>
    <mergeCell ref="U8:W9"/>
    <mergeCell ref="P7:P8"/>
    <mergeCell ref="Q7:R8"/>
    <mergeCell ref="S14:T14"/>
    <mergeCell ref="U14:W14"/>
    <mergeCell ref="G15:O15"/>
    <mergeCell ref="U12:W13"/>
    <mergeCell ref="A50:W51"/>
    <mergeCell ref="A52:B52"/>
    <mergeCell ref="C52:D52"/>
    <mergeCell ref="E52:F52"/>
    <mergeCell ref="G52:H52"/>
    <mergeCell ref="I52:J52"/>
    <mergeCell ref="K52:L52"/>
    <mergeCell ref="M52:W52"/>
    <mergeCell ref="A53:B53"/>
    <mergeCell ref="C53:D53"/>
    <mergeCell ref="E53:F53"/>
    <mergeCell ref="G53:H53"/>
    <mergeCell ref="I53:J53"/>
    <mergeCell ref="K53:L53"/>
    <mergeCell ref="M53:W53"/>
    <mergeCell ref="E85:Q86"/>
    <mergeCell ref="V81:W82"/>
    <mergeCell ref="V83:W84"/>
    <mergeCell ref="V85:W86"/>
    <mergeCell ref="T78:U80"/>
    <mergeCell ref="V78:W80"/>
    <mergeCell ref="T81:U82"/>
    <mergeCell ref="T83:U84"/>
    <mergeCell ref="T85:U86"/>
    <mergeCell ref="A81:B82"/>
    <mergeCell ref="A83:B84"/>
    <mergeCell ref="A85:B86"/>
    <mergeCell ref="C81:D82"/>
    <mergeCell ref="C83:D84"/>
    <mergeCell ref="C85:D86"/>
    <mergeCell ref="R85:S86"/>
    <mergeCell ref="A72:W73"/>
    <mergeCell ref="A74:B75"/>
    <mergeCell ref="C74:D75"/>
    <mergeCell ref="E74:Q75"/>
    <mergeCell ref="R74:S75"/>
    <mergeCell ref="T74:U75"/>
    <mergeCell ref="V74:W75"/>
    <mergeCell ref="A76:B77"/>
    <mergeCell ref="C76:D77"/>
    <mergeCell ref="E76:Q77"/>
    <mergeCell ref="R76:S77"/>
    <mergeCell ref="T76:U77"/>
    <mergeCell ref="V76:W77"/>
    <mergeCell ref="E78:Q80"/>
    <mergeCell ref="R78:S80"/>
    <mergeCell ref="E81:Q82"/>
    <mergeCell ref="E83:Q84"/>
  </mergeCells>
  <phoneticPr fontId="3" type="noConversion"/>
  <conditionalFormatting sqref="G21:O21">
    <cfRule type="cellIs" dxfId="7" priority="1" operator="equal">
      <formula>"CUT"</formula>
    </cfRule>
  </conditionalFormatting>
  <printOptions horizont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2060"/>
  </sheetPr>
  <dimension ref="A1:AA88"/>
  <sheetViews>
    <sheetView showGridLines="0" showZeros="0" view="pageBreakPreview" zoomScale="85" zoomScaleNormal="100" zoomScaleSheetLayoutView="85" workbookViewId="0">
      <selection activeCell="R10" sqref="R10:W10"/>
    </sheetView>
  </sheetViews>
  <sheetFormatPr defaultRowHeight="13.5" x14ac:dyDescent="0.15"/>
  <cols>
    <col min="1" max="13" width="3.6640625" style="29" customWidth="1"/>
    <col min="14" max="15" width="3.77734375" style="29" customWidth="1"/>
    <col min="16" max="20" width="3.6640625" style="29" customWidth="1"/>
    <col min="21" max="23" width="3.6640625" customWidth="1"/>
  </cols>
  <sheetData>
    <row r="1" spans="1:27" ht="20.100000000000001" customHeight="1" x14ac:dyDescent="0.15">
      <c r="A1" s="428" t="s">
        <v>55</v>
      </c>
      <c r="B1" s="413"/>
      <c r="C1" s="413"/>
      <c r="D1" s="413"/>
      <c r="E1" s="413"/>
      <c r="F1" s="413"/>
      <c r="G1" s="413"/>
      <c r="H1" s="413"/>
      <c r="I1" s="436" t="s">
        <v>272</v>
      </c>
      <c r="J1" s="437"/>
      <c r="K1" s="430">
        <f>sheet1!K1</f>
        <v>0</v>
      </c>
      <c r="L1" s="431"/>
      <c r="M1" s="432"/>
      <c r="N1" s="409" t="s">
        <v>56</v>
      </c>
      <c r="O1" s="410"/>
      <c r="P1" s="413" t="str">
        <f>sheet1!P1</f>
        <v>000000-00-00-00</v>
      </c>
      <c r="Q1" s="413"/>
      <c r="R1" s="413"/>
      <c r="S1" s="413"/>
      <c r="T1" s="413"/>
      <c r="U1" s="413"/>
      <c r="V1" s="413"/>
      <c r="W1" s="414"/>
    </row>
    <row r="2" spans="1:27" ht="20.100000000000001" customHeight="1" x14ac:dyDescent="0.15">
      <c r="A2" s="429"/>
      <c r="B2" s="415"/>
      <c r="C2" s="415"/>
      <c r="D2" s="415"/>
      <c r="E2" s="415"/>
      <c r="F2" s="415"/>
      <c r="G2" s="415"/>
      <c r="H2" s="415"/>
      <c r="I2" s="438"/>
      <c r="J2" s="439"/>
      <c r="K2" s="433"/>
      <c r="L2" s="434"/>
      <c r="M2" s="435"/>
      <c r="N2" s="524"/>
      <c r="O2" s="525"/>
      <c r="P2" s="526"/>
      <c r="Q2" s="526"/>
      <c r="R2" s="526"/>
      <c r="S2" s="526"/>
      <c r="T2" s="526"/>
      <c r="U2" s="526"/>
      <c r="V2" s="526"/>
      <c r="W2" s="527"/>
    </row>
    <row r="3" spans="1:27" s="1" customFormat="1" ht="15" customHeight="1" x14ac:dyDescent="0.15">
      <c r="A3" s="440" t="s">
        <v>0</v>
      </c>
      <c r="B3" s="441"/>
      <c r="C3" s="441"/>
      <c r="D3" s="425" t="str">
        <f>sheet1!D3</f>
        <v>지엠비코리아㈜</v>
      </c>
      <c r="E3" s="426"/>
      <c r="F3" s="426"/>
      <c r="G3" s="426"/>
      <c r="H3" s="426"/>
      <c r="I3" s="426"/>
      <c r="J3" s="426"/>
      <c r="K3" s="528"/>
      <c r="L3" s="528"/>
      <c r="M3" s="529"/>
      <c r="N3" s="423" t="s">
        <v>1</v>
      </c>
      <c r="O3" s="423"/>
      <c r="P3" s="530">
        <f>sheet1!P3</f>
        <v>0</v>
      </c>
      <c r="Q3" s="531"/>
      <c r="R3" s="531"/>
      <c r="S3" s="532" t="s">
        <v>171</v>
      </c>
      <c r="T3" s="533"/>
      <c r="U3" s="533"/>
      <c r="V3" s="533"/>
      <c r="W3" s="534"/>
    </row>
    <row r="4" spans="1:27" s="1" customFormat="1" ht="24.95" customHeight="1" x14ac:dyDescent="0.15">
      <c r="A4" s="422" t="s">
        <v>2</v>
      </c>
      <c r="B4" s="423"/>
      <c r="C4" s="424" t="str">
        <f>sheet1!C4</f>
        <v>OUTTER RING</v>
      </c>
      <c r="D4" s="424"/>
      <c r="E4" s="424"/>
      <c r="F4" s="424"/>
      <c r="G4" s="424"/>
      <c r="H4" s="423" t="s">
        <v>3</v>
      </c>
      <c r="I4" s="423"/>
      <c r="J4" s="423" t="str">
        <f>sheet1!J4</f>
        <v>SUJ2</v>
      </c>
      <c r="K4" s="423"/>
      <c r="L4" s="423"/>
      <c r="M4" s="423"/>
      <c r="N4" s="447" t="s">
        <v>4</v>
      </c>
      <c r="O4" s="195"/>
      <c r="P4" s="454">
        <f>sheet1!P4</f>
        <v>0</v>
      </c>
      <c r="Q4" s="450"/>
      <c r="R4" s="450"/>
      <c r="S4" s="450"/>
      <c r="T4" s="450"/>
      <c r="U4" s="450"/>
      <c r="V4" s="450"/>
      <c r="W4" s="451"/>
      <c r="Y4" s="1" t="s">
        <v>72</v>
      </c>
      <c r="Z4" s="1" t="s">
        <v>73</v>
      </c>
      <c r="AA4" s="1" t="s">
        <v>74</v>
      </c>
    </row>
    <row r="5" spans="1:27" s="1" customFormat="1" ht="24.95" customHeight="1" thickBot="1" x14ac:dyDescent="0.2">
      <c r="A5" s="417" t="s">
        <v>5</v>
      </c>
      <c r="B5" s="418"/>
      <c r="C5" s="419" t="str">
        <f>sheet1!C5</f>
        <v>D-ENG[복열-VE사양]</v>
      </c>
      <c r="D5" s="419"/>
      <c r="E5" s="419"/>
      <c r="F5" s="419"/>
      <c r="G5" s="419"/>
      <c r="H5" s="420" t="s">
        <v>6</v>
      </c>
      <c r="I5" s="420"/>
      <c r="J5" s="421" t="str">
        <f>sheet1!J5</f>
        <v>소입공정(Q.T)</v>
      </c>
      <c r="K5" s="421"/>
      <c r="L5" s="421"/>
      <c r="M5" s="421"/>
      <c r="N5" s="448"/>
      <c r="O5" s="449"/>
      <c r="P5" s="455"/>
      <c r="Q5" s="452"/>
      <c r="R5" s="452"/>
      <c r="S5" s="452"/>
      <c r="T5" s="452"/>
      <c r="U5" s="452"/>
      <c r="V5" s="452"/>
      <c r="W5" s="453"/>
      <c r="Z5" s="1" t="str">
        <f>MID(Y5,9,1)</f>
        <v/>
      </c>
      <c r="AA5" s="1" t="e">
        <f>Z5*1</f>
        <v>#VALUE!</v>
      </c>
    </row>
    <row r="6" spans="1:27" s="1" customFormat="1" ht="16.5" customHeight="1" x14ac:dyDescent="0.15">
      <c r="A6" s="225" t="s">
        <v>87</v>
      </c>
      <c r="B6" s="226"/>
      <c r="C6" s="226"/>
      <c r="D6" s="227" t="s">
        <v>87</v>
      </c>
      <c r="E6" s="226"/>
      <c r="F6" s="228"/>
      <c r="G6" s="226" t="s">
        <v>87</v>
      </c>
      <c r="H6" s="226"/>
      <c r="I6" s="226"/>
      <c r="J6" s="227" t="s">
        <v>87</v>
      </c>
      <c r="K6" s="226"/>
      <c r="L6" s="228"/>
      <c r="M6" s="226" t="s">
        <v>87</v>
      </c>
      <c r="N6" s="226"/>
      <c r="O6" s="226"/>
      <c r="P6" s="227" t="s">
        <v>87</v>
      </c>
      <c r="Q6" s="226"/>
      <c r="R6" s="255"/>
      <c r="S6" s="170" t="s">
        <v>190</v>
      </c>
      <c r="T6" s="171"/>
      <c r="U6" s="172">
        <f>sheet1!U6</f>
        <v>0</v>
      </c>
      <c r="V6" s="173"/>
      <c r="W6" s="174"/>
    </row>
    <row r="7" spans="1:27" s="1" customFormat="1" ht="16.5" customHeight="1" x14ac:dyDescent="0.15">
      <c r="A7" s="247" t="s">
        <v>80</v>
      </c>
      <c r="B7" s="211" t="s">
        <v>81</v>
      </c>
      <c r="C7" s="249"/>
      <c r="D7" s="209" t="s">
        <v>82</v>
      </c>
      <c r="E7" s="211" t="s">
        <v>83</v>
      </c>
      <c r="F7" s="251"/>
      <c r="G7" s="253" t="s">
        <v>84</v>
      </c>
      <c r="H7" s="211" t="s">
        <v>85</v>
      </c>
      <c r="I7" s="249"/>
      <c r="J7" s="209" t="s">
        <v>86</v>
      </c>
      <c r="K7" s="211" t="s">
        <v>96</v>
      </c>
      <c r="L7" s="251"/>
      <c r="M7" s="253" t="s">
        <v>79</v>
      </c>
      <c r="N7" s="211" t="s">
        <v>106</v>
      </c>
      <c r="O7" s="249"/>
      <c r="P7" s="209" t="s">
        <v>102</v>
      </c>
      <c r="Q7" s="211" t="s">
        <v>107</v>
      </c>
      <c r="R7" s="212"/>
      <c r="S7" s="194" t="s">
        <v>178</v>
      </c>
      <c r="T7" s="195"/>
      <c r="U7" s="196">
        <f>sheet1!U7</f>
        <v>0</v>
      </c>
      <c r="V7" s="197"/>
      <c r="W7" s="198"/>
    </row>
    <row r="8" spans="1:27" s="1" customFormat="1" ht="16.5" customHeight="1" x14ac:dyDescent="0.15">
      <c r="A8" s="248"/>
      <c r="B8" s="213"/>
      <c r="C8" s="250"/>
      <c r="D8" s="210"/>
      <c r="E8" s="213"/>
      <c r="F8" s="252"/>
      <c r="G8" s="254"/>
      <c r="H8" s="213"/>
      <c r="I8" s="250"/>
      <c r="J8" s="210"/>
      <c r="K8" s="213"/>
      <c r="L8" s="252"/>
      <c r="M8" s="254"/>
      <c r="N8" s="213"/>
      <c r="O8" s="250"/>
      <c r="P8" s="210"/>
      <c r="Q8" s="213"/>
      <c r="R8" s="214"/>
      <c r="S8" s="199" t="s">
        <v>179</v>
      </c>
      <c r="T8" s="200"/>
      <c r="U8" s="203">
        <f>sheet1!U8</f>
        <v>0</v>
      </c>
      <c r="V8" s="204"/>
      <c r="W8" s="205"/>
    </row>
    <row r="9" spans="1:27" s="1" customFormat="1" ht="16.5" customHeight="1" thickBot="1" x14ac:dyDescent="0.2">
      <c r="A9" s="229" t="s">
        <v>212</v>
      </c>
      <c r="B9" s="230"/>
      <c r="C9" s="230"/>
      <c r="D9" s="230"/>
      <c r="E9" s="230"/>
      <c r="F9" s="231" t="s">
        <v>213</v>
      </c>
      <c r="G9" s="232"/>
      <c r="H9" s="232"/>
      <c r="I9" s="232"/>
      <c r="J9" s="232"/>
      <c r="K9" s="232"/>
      <c r="L9" s="233"/>
      <c r="M9" s="231" t="s">
        <v>214</v>
      </c>
      <c r="N9" s="232"/>
      <c r="O9" s="232"/>
      <c r="P9" s="232"/>
      <c r="Q9" s="232"/>
      <c r="R9" s="234"/>
      <c r="S9" s="201"/>
      <c r="T9" s="202"/>
      <c r="U9" s="206"/>
      <c r="V9" s="207"/>
      <c r="W9" s="208"/>
    </row>
    <row r="10" spans="1:27" s="2" customFormat="1" ht="15" customHeight="1" x14ac:dyDescent="0.15">
      <c r="A10" s="386" t="s">
        <v>11</v>
      </c>
      <c r="B10" s="387"/>
      <c r="C10" s="387"/>
      <c r="D10" s="388" t="str">
        <f>sheet1!D10</f>
        <v>DS10-H-01</v>
      </c>
      <c r="E10" s="388"/>
      <c r="F10" s="242" t="s">
        <v>216</v>
      </c>
      <c r="G10" s="243"/>
      <c r="H10" s="245" t="s">
        <v>180</v>
      </c>
      <c r="I10" s="246"/>
      <c r="J10" s="72"/>
      <c r="K10" s="239" t="s">
        <v>217</v>
      </c>
      <c r="L10" s="240"/>
      <c r="M10" s="240"/>
      <c r="N10" s="178" t="s">
        <v>215</v>
      </c>
      <c r="O10" s="179"/>
      <c r="P10" s="179"/>
      <c r="Q10" s="180"/>
      <c r="R10" s="184" t="s">
        <v>192</v>
      </c>
      <c r="S10" s="185"/>
      <c r="T10" s="185"/>
      <c r="U10" s="185"/>
      <c r="V10" s="185"/>
      <c r="W10" s="186"/>
    </row>
    <row r="11" spans="1:27" s="2" customFormat="1" ht="24" customHeight="1" thickBot="1" x14ac:dyDescent="0.2">
      <c r="A11" s="235" t="s">
        <v>218</v>
      </c>
      <c r="B11" s="236"/>
      <c r="C11" s="236"/>
      <c r="D11" s="236"/>
      <c r="E11" s="231"/>
      <c r="F11" s="244"/>
      <c r="G11" s="244"/>
      <c r="H11" s="237"/>
      <c r="I11" s="220"/>
      <c r="J11" s="238"/>
      <c r="K11" s="241"/>
      <c r="L11" s="241"/>
      <c r="M11" s="241"/>
      <c r="N11" s="181"/>
      <c r="O11" s="182"/>
      <c r="P11" s="182"/>
      <c r="Q11" s="183"/>
      <c r="R11" s="187" t="s">
        <v>193</v>
      </c>
      <c r="S11" s="188"/>
      <c r="T11" s="188"/>
      <c r="U11" s="188" t="s">
        <v>194</v>
      </c>
      <c r="V11" s="188"/>
      <c r="W11" s="189"/>
    </row>
    <row r="12" spans="1:27" s="2" customFormat="1" ht="9.9499999999999993" customHeight="1" x14ac:dyDescent="0.15">
      <c r="A12" s="44"/>
      <c r="B12" s="386"/>
      <c r="C12" s="401"/>
      <c r="D12" s="46"/>
      <c r="E12" s="386"/>
      <c r="F12" s="401"/>
      <c r="G12" s="46"/>
      <c r="H12" s="3"/>
      <c r="I12" s="386"/>
      <c r="J12" s="401"/>
      <c r="K12" s="368"/>
      <c r="L12" s="386"/>
      <c r="M12" s="401"/>
      <c r="N12" s="3"/>
      <c r="O12" s="386"/>
      <c r="P12" s="401"/>
      <c r="Q12" s="4"/>
      <c r="R12" s="5"/>
      <c r="S12" s="386" t="s">
        <v>12</v>
      </c>
      <c r="T12" s="538"/>
      <c r="U12" s="535" t="str">
        <f>sheet1!U12</f>
        <v>100℃±10℃</v>
      </c>
      <c r="V12" s="536"/>
      <c r="W12" s="537"/>
    </row>
    <row r="13" spans="1:27" s="2" customFormat="1" ht="9.9499999999999993" customHeight="1" thickBot="1" x14ac:dyDescent="0.2">
      <c r="A13" s="44"/>
      <c r="B13" s="369"/>
      <c r="C13" s="370"/>
      <c r="D13" s="46"/>
      <c r="E13" s="369"/>
      <c r="F13" s="370"/>
      <c r="G13" s="46"/>
      <c r="H13" s="3"/>
      <c r="I13" s="369"/>
      <c r="J13" s="370"/>
      <c r="K13" s="368"/>
      <c r="L13" s="369"/>
      <c r="M13" s="370"/>
      <c r="N13" s="3"/>
      <c r="O13" s="369"/>
      <c r="P13" s="370"/>
      <c r="Q13" s="4"/>
      <c r="R13" s="5"/>
      <c r="S13" s="192"/>
      <c r="T13" s="193"/>
      <c r="U13" s="222"/>
      <c r="V13" s="223"/>
      <c r="W13" s="224"/>
    </row>
    <row r="14" spans="1:27" s="2" customFormat="1" ht="15" customHeight="1" x14ac:dyDescent="0.15">
      <c r="A14" s="44"/>
      <c r="B14" s="41"/>
      <c r="C14" s="46"/>
      <c r="D14" s="46"/>
      <c r="E14" s="46"/>
      <c r="F14" s="4"/>
      <c r="G14" s="5"/>
      <c r="H14" s="5"/>
      <c r="I14" s="42"/>
      <c r="J14" s="46"/>
      <c r="K14" s="46"/>
      <c r="L14" s="42"/>
      <c r="M14" s="46"/>
      <c r="N14" s="46"/>
      <c r="O14" s="41"/>
      <c r="P14" s="46"/>
      <c r="Q14" s="46"/>
      <c r="R14" s="46"/>
      <c r="S14" s="215" t="s">
        <v>13</v>
      </c>
      <c r="T14" s="216"/>
      <c r="U14" s="217" t="str">
        <f>sheet1!U14</f>
        <v>40M</v>
      </c>
      <c r="V14" s="218"/>
      <c r="W14" s="219"/>
    </row>
    <row r="15" spans="1:27" s="2" customFormat="1" ht="20.100000000000001" customHeight="1" thickBot="1" x14ac:dyDescent="0.2">
      <c r="A15" s="44"/>
      <c r="B15" s="42"/>
      <c r="C15" s="46"/>
      <c r="D15" s="46"/>
      <c r="E15" s="46"/>
      <c r="F15" s="6"/>
      <c r="G15" s="220" t="str">
        <f>sheet1!G15</f>
        <v>850℃±10℃</v>
      </c>
      <c r="H15" s="220"/>
      <c r="I15" s="220"/>
      <c r="J15" s="220"/>
      <c r="K15" s="220"/>
      <c r="L15" s="220"/>
      <c r="M15" s="220"/>
      <c r="N15" s="220"/>
      <c r="O15" s="221"/>
      <c r="P15" s="46"/>
      <c r="Q15" s="46"/>
      <c r="R15" s="46"/>
      <c r="S15" s="190" t="s">
        <v>14</v>
      </c>
      <c r="T15" s="191"/>
      <c r="U15" s="406" t="str">
        <f>sheet1!U15</f>
        <v>60Hz±5Hz</v>
      </c>
      <c r="V15" s="407"/>
      <c r="W15" s="408"/>
    </row>
    <row r="16" spans="1:27" s="2" customFormat="1" ht="20.100000000000001" customHeight="1" thickBot="1" x14ac:dyDescent="0.2">
      <c r="A16" s="392" t="s">
        <v>15</v>
      </c>
      <c r="B16" s="393"/>
      <c r="C16" s="47"/>
      <c r="D16" s="398"/>
      <c r="E16" s="398"/>
      <c r="F16" s="378"/>
      <c r="G16" s="387" t="s">
        <v>16</v>
      </c>
      <c r="H16" s="387"/>
      <c r="I16" s="387"/>
      <c r="J16" s="386" t="s">
        <v>17</v>
      </c>
      <c r="K16" s="387"/>
      <c r="L16" s="401"/>
      <c r="M16" s="386" t="s">
        <v>18</v>
      </c>
      <c r="N16" s="387"/>
      <c r="O16" s="387"/>
      <c r="P16" s="402"/>
      <c r="Q16" s="403"/>
      <c r="R16" s="404"/>
      <c r="S16" s="192"/>
      <c r="T16" s="193"/>
      <c r="U16" s="222"/>
      <c r="V16" s="223"/>
      <c r="W16" s="224"/>
    </row>
    <row r="17" spans="1:25" s="2" customFormat="1" ht="17.25" customHeight="1" x14ac:dyDescent="0.15">
      <c r="A17" s="394"/>
      <c r="B17" s="395"/>
      <c r="C17" s="46"/>
      <c r="D17" s="44"/>
      <c r="E17" s="46"/>
      <c r="F17" s="42"/>
      <c r="G17" s="46"/>
      <c r="H17" s="46"/>
      <c r="I17" s="46"/>
      <c r="J17" s="44"/>
      <c r="K17" s="46"/>
      <c r="L17" s="42"/>
      <c r="M17" s="7"/>
      <c r="N17" s="7"/>
      <c r="O17" s="7"/>
      <c r="P17" s="405"/>
      <c r="Q17" s="403"/>
      <c r="R17" s="403"/>
      <c r="S17" s="399" t="s">
        <v>19</v>
      </c>
      <c r="T17" s="399"/>
      <c r="U17" s="399"/>
      <c r="V17" s="399"/>
      <c r="W17" s="400"/>
    </row>
    <row r="18" spans="1:25" s="2" customFormat="1" ht="17.25" customHeight="1" x14ac:dyDescent="0.15">
      <c r="A18" s="396"/>
      <c r="B18" s="397"/>
      <c r="C18" s="5"/>
      <c r="D18" s="201" t="s">
        <v>20</v>
      </c>
      <c r="E18" s="352"/>
      <c r="F18" s="353"/>
      <c r="G18" s="352" t="s">
        <v>21</v>
      </c>
      <c r="H18" s="352"/>
      <c r="I18" s="352"/>
      <c r="J18" s="201" t="s">
        <v>22</v>
      </c>
      <c r="K18" s="352"/>
      <c r="L18" s="353"/>
      <c r="M18" s="201" t="s">
        <v>23</v>
      </c>
      <c r="N18" s="352"/>
      <c r="O18" s="352"/>
      <c r="P18" s="8"/>
      <c r="Q18" s="9"/>
      <c r="R18" s="5"/>
      <c r="S18" s="389"/>
      <c r="T18" s="390"/>
      <c r="U18" s="390"/>
      <c r="V18" s="390"/>
      <c r="W18" s="391"/>
    </row>
    <row r="19" spans="1:25" s="2" customFormat="1" ht="17.25" customHeight="1" x14ac:dyDescent="0.15">
      <c r="A19" s="501" t="s">
        <v>24</v>
      </c>
      <c r="B19" s="502"/>
      <c r="C19" s="376"/>
      <c r="D19" s="497" t="s">
        <v>25</v>
      </c>
      <c r="E19" s="271"/>
      <c r="F19" s="308"/>
      <c r="G19" s="271" t="str">
        <f>sheet1!G19</f>
        <v>30M</v>
      </c>
      <c r="H19" s="271"/>
      <c r="I19" s="271"/>
      <c r="J19" s="497" t="str">
        <f>sheet1!J19</f>
        <v>30M</v>
      </c>
      <c r="K19" s="271"/>
      <c r="L19" s="308"/>
      <c r="M19" s="497" t="str">
        <f>sheet1!M19</f>
        <v>30M</v>
      </c>
      <c r="N19" s="271"/>
      <c r="O19" s="271"/>
      <c r="P19" s="8"/>
      <c r="Q19" s="9"/>
      <c r="R19" s="5"/>
      <c r="S19" s="377" t="s">
        <v>129</v>
      </c>
      <c r="T19" s="294"/>
      <c r="U19" s="294"/>
      <c r="V19" s="294"/>
      <c r="W19" s="295"/>
    </row>
    <row r="20" spans="1:25" s="2" customFormat="1" ht="17.25" customHeight="1" x14ac:dyDescent="0.15">
      <c r="A20" s="374" t="s">
        <v>26</v>
      </c>
      <c r="B20" s="498"/>
      <c r="C20" s="499"/>
      <c r="D20" s="471" t="s">
        <v>172</v>
      </c>
      <c r="E20" s="472"/>
      <c r="F20" s="500"/>
      <c r="G20" s="539" t="str">
        <f>sheet1!G20</f>
        <v>0.65%±0.05%</v>
      </c>
      <c r="H20" s="539"/>
      <c r="I20" s="539"/>
      <c r="J20" s="540" t="str">
        <f>sheet1!J20</f>
        <v>0.65%±0.05%</v>
      </c>
      <c r="K20" s="539"/>
      <c r="L20" s="541"/>
      <c r="M20" s="540" t="str">
        <f>sheet1!M20</f>
        <v>0.65%±0.05%</v>
      </c>
      <c r="N20" s="539"/>
      <c r="O20" s="539"/>
      <c r="P20" s="8"/>
      <c r="Q20" s="9"/>
      <c r="R20" s="43"/>
      <c r="S20" s="456" t="s">
        <v>1</v>
      </c>
      <c r="T20" s="457"/>
      <c r="U20" s="379" t="s">
        <v>28</v>
      </c>
      <c r="V20" s="380"/>
      <c r="W20" s="381"/>
    </row>
    <row r="21" spans="1:25" s="2" customFormat="1" ht="17.25" customHeight="1" x14ac:dyDescent="0.15">
      <c r="A21" s="374" t="s">
        <v>29</v>
      </c>
      <c r="B21" s="375"/>
      <c r="C21" s="376"/>
      <c r="D21" s="471" t="str">
        <f>sheet1!D21</f>
        <v>CUT</v>
      </c>
      <c r="E21" s="472"/>
      <c r="F21" s="472"/>
      <c r="G21" s="464" t="str">
        <f>sheet1!G21</f>
        <v>CUT</v>
      </c>
      <c r="H21" s="465"/>
      <c r="I21" s="465"/>
      <c r="J21" s="465"/>
      <c r="K21" s="465"/>
      <c r="L21" s="465"/>
      <c r="M21" s="466" t="str">
        <f>sheet1!M21</f>
        <v>CUT</v>
      </c>
      <c r="N21" s="467"/>
      <c r="O21" s="467"/>
      <c r="P21" s="10"/>
      <c r="Q21" s="11"/>
      <c r="R21" s="43"/>
      <c r="S21" s="382" t="s">
        <v>31</v>
      </c>
      <c r="T21" s="383"/>
      <c r="U21" s="382"/>
      <c r="V21" s="384"/>
      <c r="W21" s="385"/>
    </row>
    <row r="22" spans="1:25" s="2" customFormat="1" ht="17.25" customHeight="1" thickBot="1" x14ac:dyDescent="0.2">
      <c r="A22" s="374" t="s">
        <v>32</v>
      </c>
      <c r="B22" s="375"/>
      <c r="C22" s="376"/>
      <c r="D22" s="471" t="s">
        <v>33</v>
      </c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12"/>
      <c r="Q22" s="13"/>
      <c r="R22" s="14"/>
      <c r="S22" s="15"/>
      <c r="T22" s="269" t="str">
        <f>sheet1!T22</f>
        <v>170℃±5℃</v>
      </c>
      <c r="U22" s="269"/>
      <c r="V22" s="269"/>
      <c r="W22" s="16"/>
    </row>
    <row r="23" spans="1:25" s="2" customFormat="1" ht="17.25" customHeight="1" thickBot="1" x14ac:dyDescent="0.2">
      <c r="A23" s="374" t="s">
        <v>34</v>
      </c>
      <c r="B23" s="375"/>
      <c r="C23" s="376"/>
      <c r="D23" s="229" t="s">
        <v>35</v>
      </c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8"/>
      <c r="Q23" s="9"/>
      <c r="R23" s="43"/>
      <c r="S23" s="378"/>
      <c r="T23" s="17"/>
      <c r="U23" s="18"/>
      <c r="V23" s="19"/>
      <c r="W23" s="351"/>
    </row>
    <row r="24" spans="1:25" s="2" customFormat="1" ht="17.25" customHeight="1" x14ac:dyDescent="0.15">
      <c r="A24" s="33" t="s">
        <v>36</v>
      </c>
      <c r="B24" s="34"/>
      <c r="C24" s="34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378"/>
      <c r="T24" s="201" t="str">
        <f>sheet1!T24</f>
        <v>1Hr30M</v>
      </c>
      <c r="U24" s="352"/>
      <c r="V24" s="353"/>
      <c r="W24" s="351"/>
    </row>
    <row r="25" spans="1:25" s="2" customFormat="1" ht="16.5" customHeight="1" x14ac:dyDescent="0.15">
      <c r="A25" s="458" t="s">
        <v>8</v>
      </c>
      <c r="B25" s="357"/>
      <c r="C25" s="35" t="s">
        <v>90</v>
      </c>
      <c r="D25" s="364" t="s">
        <v>91</v>
      </c>
      <c r="E25" s="365"/>
      <c r="F25" s="365"/>
      <c r="G25" s="356" t="s">
        <v>89</v>
      </c>
      <c r="H25" s="357"/>
      <c r="I25" s="364" t="s">
        <v>91</v>
      </c>
      <c r="J25" s="365"/>
      <c r="K25" s="480"/>
      <c r="L25" s="475" t="s">
        <v>92</v>
      </c>
      <c r="M25" s="36" t="s">
        <v>93</v>
      </c>
      <c r="N25" s="481" t="s">
        <v>86</v>
      </c>
      <c r="O25" s="473" t="s">
        <v>100</v>
      </c>
      <c r="P25" s="474"/>
      <c r="Q25" s="481" t="s">
        <v>102</v>
      </c>
      <c r="R25" s="547" t="s">
        <v>103</v>
      </c>
      <c r="S25" s="548"/>
      <c r="T25" s="48" t="s">
        <v>10</v>
      </c>
      <c r="U25" s="559" t="s">
        <v>104</v>
      </c>
      <c r="V25" s="560"/>
      <c r="W25" s="40" t="s">
        <v>10</v>
      </c>
    </row>
    <row r="26" spans="1:25" s="21" customFormat="1" ht="16.5" customHeight="1" x14ac:dyDescent="0.15">
      <c r="A26" s="459"/>
      <c r="B26" s="359"/>
      <c r="C26" s="20" t="s">
        <v>173</v>
      </c>
      <c r="D26" s="366" t="s">
        <v>176</v>
      </c>
      <c r="E26" s="367"/>
      <c r="F26" s="367"/>
      <c r="G26" s="358"/>
      <c r="H26" s="359"/>
      <c r="I26" s="366" t="s">
        <v>176</v>
      </c>
      <c r="J26" s="367"/>
      <c r="K26" s="367"/>
      <c r="L26" s="476"/>
      <c r="M26" s="37" t="s">
        <v>94</v>
      </c>
      <c r="N26" s="482"/>
      <c r="O26" s="461" t="s">
        <v>105</v>
      </c>
      <c r="P26" s="462"/>
      <c r="Q26" s="482"/>
      <c r="R26" s="258" t="s">
        <v>43</v>
      </c>
      <c r="S26" s="265"/>
      <c r="T26" s="265"/>
      <c r="U26" s="310" t="s">
        <v>43</v>
      </c>
      <c r="V26" s="311"/>
      <c r="W26" s="312"/>
    </row>
    <row r="27" spans="1:25" s="21" customFormat="1" ht="16.5" customHeight="1" x14ac:dyDescent="0.15">
      <c r="A27" s="460"/>
      <c r="B27" s="361"/>
      <c r="C27" s="38" t="s">
        <v>174</v>
      </c>
      <c r="D27" s="354" t="s">
        <v>175</v>
      </c>
      <c r="E27" s="355"/>
      <c r="F27" s="355"/>
      <c r="G27" s="360"/>
      <c r="H27" s="361"/>
      <c r="I27" s="354" t="s">
        <v>175</v>
      </c>
      <c r="J27" s="355"/>
      <c r="K27" s="355"/>
      <c r="L27" s="477"/>
      <c r="M27" s="39" t="s">
        <v>95</v>
      </c>
      <c r="N27" s="478" t="s">
        <v>106</v>
      </c>
      <c r="O27" s="264"/>
      <c r="P27" s="463"/>
      <c r="Q27" s="478" t="s">
        <v>107</v>
      </c>
      <c r="R27" s="563" t="s">
        <v>108</v>
      </c>
      <c r="S27" s="492"/>
      <c r="T27" s="492"/>
      <c r="U27" s="563" t="s">
        <v>122</v>
      </c>
      <c r="V27" s="492"/>
      <c r="W27" s="574"/>
    </row>
    <row r="28" spans="1:25" s="21" customFormat="1" ht="16.5" customHeight="1" x14ac:dyDescent="0.15">
      <c r="A28" s="394" t="s">
        <v>253</v>
      </c>
      <c r="B28" s="549"/>
      <c r="C28" s="551" t="s">
        <v>37</v>
      </c>
      <c r="D28" s="551"/>
      <c r="E28" s="553" t="s">
        <v>75</v>
      </c>
      <c r="F28" s="502"/>
      <c r="G28" s="502"/>
      <c r="H28" s="502"/>
      <c r="I28" s="554"/>
      <c r="J28" s="502" t="s">
        <v>76</v>
      </c>
      <c r="K28" s="502"/>
      <c r="L28" s="502"/>
      <c r="M28" s="502"/>
      <c r="N28" s="478"/>
      <c r="O28" s="483" t="s">
        <v>109</v>
      </c>
      <c r="P28" s="484"/>
      <c r="Q28" s="478"/>
      <c r="R28" s="563" t="s">
        <v>110</v>
      </c>
      <c r="S28" s="492"/>
      <c r="T28" s="492"/>
      <c r="U28" s="564" t="s">
        <v>110</v>
      </c>
      <c r="V28" s="565"/>
      <c r="W28" s="566"/>
    </row>
    <row r="29" spans="1:25" s="21" customFormat="1" ht="17.100000000000001" customHeight="1" x14ac:dyDescent="0.15">
      <c r="A29" s="394"/>
      <c r="B29" s="549"/>
      <c r="C29" s="551"/>
      <c r="D29" s="551"/>
      <c r="E29" s="571" t="s">
        <v>77</v>
      </c>
      <c r="F29" s="572"/>
      <c r="G29" s="572"/>
      <c r="H29" s="572"/>
      <c r="I29" s="573"/>
      <c r="J29" s="30"/>
      <c r="K29" s="30"/>
      <c r="L29" s="30"/>
      <c r="M29" s="30"/>
      <c r="N29" s="478"/>
      <c r="O29" s="483"/>
      <c r="P29" s="484"/>
      <c r="Q29" s="478"/>
      <c r="R29" s="563" t="s">
        <v>112</v>
      </c>
      <c r="S29" s="492"/>
      <c r="T29" s="492"/>
      <c r="U29" s="563" t="s">
        <v>111</v>
      </c>
      <c r="V29" s="492"/>
      <c r="W29" s="574"/>
    </row>
    <row r="30" spans="1:25" s="21" customFormat="1" ht="17.100000000000001" customHeight="1" x14ac:dyDescent="0.15">
      <c r="A30" s="396"/>
      <c r="B30" s="550"/>
      <c r="C30" s="552"/>
      <c r="D30" s="552"/>
      <c r="E30" s="575" t="s">
        <v>250</v>
      </c>
      <c r="F30" s="576"/>
      <c r="G30" s="576"/>
      <c r="H30" s="576"/>
      <c r="I30" s="577"/>
      <c r="J30" s="31"/>
      <c r="K30" s="31"/>
      <c r="L30" s="31"/>
      <c r="M30" s="31"/>
      <c r="N30" s="478"/>
      <c r="O30" s="483"/>
      <c r="P30" s="484"/>
      <c r="Q30" s="478"/>
      <c r="R30" s="563" t="s">
        <v>113</v>
      </c>
      <c r="S30" s="492"/>
      <c r="T30" s="492"/>
      <c r="U30" s="564" t="s">
        <v>113</v>
      </c>
      <c r="V30" s="565"/>
      <c r="W30" s="566"/>
    </row>
    <row r="31" spans="1:25" s="21" customFormat="1" ht="17.100000000000001" customHeight="1" x14ac:dyDescent="0.15">
      <c r="A31" s="542" t="s">
        <v>38</v>
      </c>
      <c r="B31" s="543"/>
      <c r="C31" s="543"/>
      <c r="D31" s="544" t="s">
        <v>39</v>
      </c>
      <c r="E31" s="543"/>
      <c r="F31" s="543"/>
      <c r="G31" s="543"/>
      <c r="H31" s="545">
        <f>sheet1!H31</f>
        <v>0</v>
      </c>
      <c r="I31" s="546"/>
      <c r="J31" s="546"/>
      <c r="K31" s="546"/>
      <c r="L31" s="546"/>
      <c r="M31" s="546"/>
      <c r="N31" s="478"/>
      <c r="O31" s="483"/>
      <c r="P31" s="484"/>
      <c r="Q31" s="478"/>
      <c r="R31" s="283" t="s">
        <v>115</v>
      </c>
      <c r="S31" s="495"/>
      <c r="T31" s="495"/>
      <c r="U31" s="561" t="s">
        <v>114</v>
      </c>
      <c r="V31" s="495"/>
      <c r="W31" s="562"/>
    </row>
    <row r="32" spans="1:25" s="21" customFormat="1" ht="17.100000000000001" customHeight="1" x14ac:dyDescent="0.15">
      <c r="A32" s="578" t="s">
        <v>185</v>
      </c>
      <c r="B32" s="579"/>
      <c r="C32" s="579"/>
      <c r="D32" s="579"/>
      <c r="E32" s="582" t="s">
        <v>40</v>
      </c>
      <c r="F32" s="583"/>
      <c r="G32" s="583" t="s">
        <v>41</v>
      </c>
      <c r="H32" s="583"/>
      <c r="I32" s="583" t="s">
        <v>42</v>
      </c>
      <c r="J32" s="583"/>
      <c r="K32" s="584" t="s">
        <v>184</v>
      </c>
      <c r="L32" s="584"/>
      <c r="M32" s="585"/>
      <c r="N32" s="567" t="s">
        <v>123</v>
      </c>
      <c r="O32" s="568"/>
      <c r="P32" s="568"/>
      <c r="Q32" s="568"/>
      <c r="R32" s="568"/>
      <c r="S32" s="285" t="s">
        <v>100</v>
      </c>
      <c r="T32" s="587" t="s">
        <v>124</v>
      </c>
      <c r="U32" s="263"/>
      <c r="V32" s="263"/>
      <c r="W32" s="588"/>
      <c r="Y32" s="32"/>
    </row>
    <row r="33" spans="1:23" s="21" customFormat="1" ht="17.100000000000001" customHeight="1" x14ac:dyDescent="0.15">
      <c r="A33" s="580"/>
      <c r="B33" s="581"/>
      <c r="C33" s="581"/>
      <c r="D33" s="581"/>
      <c r="E33" s="586"/>
      <c r="F33" s="555"/>
      <c r="G33" s="555"/>
      <c r="H33" s="555"/>
      <c r="I33" s="555"/>
      <c r="J33" s="555"/>
      <c r="K33" s="556"/>
      <c r="L33" s="557"/>
      <c r="M33" s="558"/>
      <c r="N33" s="569"/>
      <c r="O33" s="570"/>
      <c r="P33" s="570"/>
      <c r="Q33" s="570"/>
      <c r="R33" s="570"/>
      <c r="S33" s="286"/>
      <c r="T33" s="281"/>
      <c r="U33" s="286"/>
      <c r="V33" s="286"/>
      <c r="W33" s="363"/>
    </row>
    <row r="34" spans="1:23" s="21" customFormat="1" ht="17.100000000000001" customHeight="1" x14ac:dyDescent="0.15">
      <c r="A34" s="589" t="s">
        <v>98</v>
      </c>
      <c r="B34" s="590"/>
      <c r="C34" s="590"/>
      <c r="D34" s="590"/>
      <c r="E34" s="590"/>
      <c r="F34" s="590"/>
      <c r="G34" s="590"/>
      <c r="H34" s="590"/>
      <c r="I34" s="590"/>
      <c r="J34" s="590"/>
      <c r="K34" s="590"/>
      <c r="L34" s="590"/>
      <c r="M34" s="590"/>
      <c r="N34" s="287" t="s">
        <v>97</v>
      </c>
      <c r="O34" s="287"/>
      <c r="P34" s="287"/>
      <c r="Q34" s="287"/>
      <c r="R34" s="287"/>
      <c r="S34" s="287"/>
      <c r="T34" s="287"/>
      <c r="U34" s="287"/>
      <c r="V34" s="287"/>
      <c r="W34" s="288"/>
    </row>
    <row r="35" spans="1:23" s="21" customFormat="1" ht="16.5" customHeight="1" x14ac:dyDescent="0.15">
      <c r="A35" s="591" t="s">
        <v>254</v>
      </c>
      <c r="B35" s="592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3"/>
      <c r="N35" s="273">
        <f>sheet1!N35</f>
        <v>0</v>
      </c>
      <c r="O35" s="600"/>
      <c r="P35" s="600"/>
      <c r="Q35" s="600"/>
      <c r="R35" s="600"/>
      <c r="S35" s="600"/>
      <c r="T35" s="600"/>
      <c r="U35" s="600"/>
      <c r="V35" s="600"/>
      <c r="W35" s="601"/>
    </row>
    <row r="36" spans="1:23" s="21" customFormat="1" ht="17.100000000000001" customHeight="1" x14ac:dyDescent="0.15">
      <c r="A36" s="594"/>
      <c r="B36" s="595"/>
      <c r="C36" s="595"/>
      <c r="D36" s="595"/>
      <c r="E36" s="595"/>
      <c r="F36" s="595"/>
      <c r="G36" s="595"/>
      <c r="H36" s="595"/>
      <c r="I36" s="595"/>
      <c r="J36" s="595"/>
      <c r="K36" s="595"/>
      <c r="L36" s="595"/>
      <c r="M36" s="596"/>
      <c r="N36" s="602"/>
      <c r="O36" s="603"/>
      <c r="P36" s="603"/>
      <c r="Q36" s="603"/>
      <c r="R36" s="603"/>
      <c r="S36" s="603"/>
      <c r="T36" s="603"/>
      <c r="U36" s="603"/>
      <c r="V36" s="603"/>
      <c r="W36" s="604"/>
    </row>
    <row r="37" spans="1:23" s="21" customFormat="1" ht="17.100000000000001" customHeight="1" x14ac:dyDescent="0.15">
      <c r="A37" s="594"/>
      <c r="B37" s="595"/>
      <c r="C37" s="595"/>
      <c r="D37" s="595"/>
      <c r="E37" s="595"/>
      <c r="F37" s="595"/>
      <c r="G37" s="595"/>
      <c r="H37" s="595"/>
      <c r="I37" s="595"/>
      <c r="J37" s="595"/>
      <c r="K37" s="595"/>
      <c r="L37" s="595"/>
      <c r="M37" s="596"/>
      <c r="N37" s="605" t="s">
        <v>161</v>
      </c>
      <c r="O37" s="606"/>
      <c r="P37" s="606"/>
      <c r="Q37" s="606"/>
      <c r="R37" s="606"/>
      <c r="S37" s="606"/>
      <c r="T37" s="606"/>
      <c r="U37" s="606"/>
      <c r="V37" s="606"/>
      <c r="W37" s="607"/>
    </row>
    <row r="38" spans="1:23" s="21" customFormat="1" ht="15" customHeight="1" x14ac:dyDescent="0.15">
      <c r="A38" s="594"/>
      <c r="B38" s="595"/>
      <c r="C38" s="595"/>
      <c r="D38" s="595"/>
      <c r="E38" s="595"/>
      <c r="F38" s="595"/>
      <c r="G38" s="595"/>
      <c r="H38" s="595"/>
      <c r="I38" s="595"/>
      <c r="J38" s="595"/>
      <c r="K38" s="595"/>
      <c r="L38" s="595"/>
      <c r="M38" s="596"/>
      <c r="N38" s="608"/>
      <c r="O38" s="609"/>
      <c r="P38" s="609"/>
      <c r="Q38" s="609"/>
      <c r="R38" s="609"/>
      <c r="S38" s="609"/>
      <c r="T38" s="609"/>
      <c r="U38" s="609"/>
      <c r="V38" s="609"/>
      <c r="W38" s="610"/>
    </row>
    <row r="39" spans="1:23" s="21" customFormat="1" ht="15" customHeight="1" x14ac:dyDescent="0.15">
      <c r="A39" s="594"/>
      <c r="B39" s="595"/>
      <c r="C39" s="595"/>
      <c r="D39" s="595"/>
      <c r="E39" s="595"/>
      <c r="F39" s="595"/>
      <c r="G39" s="595"/>
      <c r="H39" s="595"/>
      <c r="I39" s="595"/>
      <c r="J39" s="595"/>
      <c r="K39" s="595"/>
      <c r="L39" s="595"/>
      <c r="M39" s="596"/>
      <c r="N39" s="608"/>
      <c r="O39" s="609"/>
      <c r="P39" s="609"/>
      <c r="Q39" s="609"/>
      <c r="R39" s="609"/>
      <c r="S39" s="609"/>
      <c r="T39" s="609"/>
      <c r="U39" s="609"/>
      <c r="V39" s="609"/>
      <c r="W39" s="610"/>
    </row>
    <row r="40" spans="1:23" s="21" customFormat="1" ht="33.75" customHeight="1" x14ac:dyDescent="0.15">
      <c r="A40" s="597"/>
      <c r="B40" s="598"/>
      <c r="C40" s="598"/>
      <c r="D40" s="598"/>
      <c r="E40" s="598"/>
      <c r="F40" s="598"/>
      <c r="G40" s="598"/>
      <c r="H40" s="598"/>
      <c r="I40" s="598"/>
      <c r="J40" s="598"/>
      <c r="K40" s="598"/>
      <c r="L40" s="598"/>
      <c r="M40" s="599"/>
      <c r="N40" s="611"/>
      <c r="O40" s="612"/>
      <c r="P40" s="612"/>
      <c r="Q40" s="612"/>
      <c r="R40" s="612"/>
      <c r="S40" s="612"/>
      <c r="T40" s="612"/>
      <c r="U40" s="612"/>
      <c r="V40" s="612"/>
      <c r="W40" s="613"/>
    </row>
    <row r="41" spans="1:23" s="21" customFormat="1" ht="18" customHeight="1" x14ac:dyDescent="0.15">
      <c r="A41" s="293" t="s">
        <v>252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295"/>
    </row>
    <row r="42" spans="1:23" s="21" customFormat="1" ht="15" customHeight="1" x14ac:dyDescent="0.15">
      <c r="A42" s="296" t="s">
        <v>44</v>
      </c>
      <c r="B42" s="297"/>
      <c r="C42" s="268" t="s">
        <v>45</v>
      </c>
      <c r="D42" s="269"/>
      <c r="E42" s="269"/>
      <c r="F42" s="269"/>
      <c r="G42" s="269"/>
      <c r="H42" s="268" t="s">
        <v>46</v>
      </c>
      <c r="I42" s="269"/>
      <c r="J42" s="269"/>
      <c r="K42" s="200"/>
      <c r="L42" s="309" t="s">
        <v>277</v>
      </c>
      <c r="M42" s="309"/>
      <c r="N42" s="268" t="s">
        <v>274</v>
      </c>
      <c r="O42" s="269"/>
      <c r="P42" s="269"/>
      <c r="Q42" s="269"/>
      <c r="R42" s="269"/>
      <c r="S42" s="269"/>
      <c r="T42" s="269"/>
      <c r="U42" s="269"/>
      <c r="V42" s="269"/>
      <c r="W42" s="307"/>
    </row>
    <row r="43" spans="1:23" s="21" customFormat="1" ht="15.75" customHeight="1" x14ac:dyDescent="0.15">
      <c r="A43" s="296"/>
      <c r="B43" s="297"/>
      <c r="C43" s="270"/>
      <c r="D43" s="271"/>
      <c r="E43" s="271"/>
      <c r="F43" s="271"/>
      <c r="G43" s="271"/>
      <c r="H43" s="270"/>
      <c r="I43" s="271"/>
      <c r="J43" s="271"/>
      <c r="K43" s="272"/>
      <c r="L43" s="309"/>
      <c r="M43" s="309"/>
      <c r="N43" s="270"/>
      <c r="O43" s="271"/>
      <c r="P43" s="271"/>
      <c r="Q43" s="271"/>
      <c r="R43" s="271"/>
      <c r="S43" s="271"/>
      <c r="T43" s="271"/>
      <c r="U43" s="271"/>
      <c r="V43" s="271"/>
      <c r="W43" s="308"/>
    </row>
    <row r="44" spans="1:23" s="21" customFormat="1" ht="24.95" customHeight="1" x14ac:dyDescent="0.15">
      <c r="A44" s="336" t="s">
        <v>39</v>
      </c>
      <c r="B44" s="337"/>
      <c r="C44" s="338" t="str">
        <f>sheet1!C44</f>
        <v>HRC 61~64</v>
      </c>
      <c r="D44" s="338"/>
      <c r="E44" s="338"/>
      <c r="F44" s="338"/>
      <c r="G44" s="338"/>
      <c r="H44" s="324" t="s">
        <v>177</v>
      </c>
      <c r="I44" s="325"/>
      <c r="J44" s="325"/>
      <c r="K44" s="326"/>
      <c r="L44" s="339" t="s">
        <v>181</v>
      </c>
      <c r="M44" s="339"/>
      <c r="N44" s="340"/>
      <c r="O44" s="341"/>
      <c r="P44" s="341"/>
      <c r="Q44" s="341"/>
      <c r="R44" s="341"/>
      <c r="S44" s="341"/>
      <c r="T44" s="341"/>
      <c r="U44" s="341"/>
      <c r="V44" s="341"/>
      <c r="W44" s="342"/>
    </row>
    <row r="45" spans="1:23" s="21" customFormat="1" ht="24.95" customHeight="1" x14ac:dyDescent="0.15">
      <c r="A45" s="333" t="s">
        <v>47</v>
      </c>
      <c r="B45" s="334"/>
      <c r="C45" s="335" t="str">
        <f>sheet1!C45</f>
        <v>_</v>
      </c>
      <c r="D45" s="335"/>
      <c r="E45" s="335"/>
      <c r="F45" s="335"/>
      <c r="G45" s="335"/>
      <c r="H45" s="327"/>
      <c r="I45" s="328"/>
      <c r="J45" s="328"/>
      <c r="K45" s="329"/>
      <c r="L45" s="349" t="s">
        <v>182</v>
      </c>
      <c r="M45" s="350"/>
      <c r="N45" s="343"/>
      <c r="O45" s="344"/>
      <c r="P45" s="344"/>
      <c r="Q45" s="344"/>
      <c r="R45" s="344"/>
      <c r="S45" s="344"/>
      <c r="T45" s="344"/>
      <c r="U45" s="344"/>
      <c r="V45" s="344"/>
      <c r="W45" s="345"/>
    </row>
    <row r="46" spans="1:23" s="21" customFormat="1" ht="24.95" customHeight="1" x14ac:dyDescent="0.15">
      <c r="A46" s="333" t="s">
        <v>48</v>
      </c>
      <c r="B46" s="334"/>
      <c r="C46" s="335" t="str">
        <f>sheet1!C46</f>
        <v>_</v>
      </c>
      <c r="D46" s="335"/>
      <c r="E46" s="335"/>
      <c r="F46" s="335"/>
      <c r="G46" s="335"/>
      <c r="H46" s="327"/>
      <c r="I46" s="328"/>
      <c r="J46" s="328"/>
      <c r="K46" s="329"/>
      <c r="L46" s="349"/>
      <c r="M46" s="350"/>
      <c r="N46" s="343"/>
      <c r="O46" s="344"/>
      <c r="P46" s="344"/>
      <c r="Q46" s="344"/>
      <c r="R46" s="344"/>
      <c r="S46" s="344"/>
      <c r="T46" s="344"/>
      <c r="U46" s="344"/>
      <c r="V46" s="344"/>
      <c r="W46" s="345"/>
    </row>
    <row r="47" spans="1:23" s="21" customFormat="1" ht="24.95" customHeight="1" thickBot="1" x14ac:dyDescent="0.2">
      <c r="A47" s="320" t="s">
        <v>49</v>
      </c>
      <c r="B47" s="321"/>
      <c r="C47" s="322" t="str">
        <f>sheet1!C47</f>
        <v>_</v>
      </c>
      <c r="D47" s="322"/>
      <c r="E47" s="322"/>
      <c r="F47" s="322"/>
      <c r="G47" s="322"/>
      <c r="H47" s="330"/>
      <c r="I47" s="331"/>
      <c r="J47" s="331"/>
      <c r="K47" s="332"/>
      <c r="L47" s="323" t="s">
        <v>275</v>
      </c>
      <c r="M47" s="323"/>
      <c r="N47" s="346"/>
      <c r="O47" s="347"/>
      <c r="P47" s="347"/>
      <c r="Q47" s="347"/>
      <c r="R47" s="347"/>
      <c r="S47" s="347"/>
      <c r="T47" s="347"/>
      <c r="U47" s="347"/>
      <c r="V47" s="347"/>
      <c r="W47" s="348"/>
    </row>
    <row r="48" spans="1:23" s="21" customFormat="1" ht="13.5" customHeight="1" x14ac:dyDescent="0.15">
      <c r="A48" s="316" t="s">
        <v>243</v>
      </c>
      <c r="B48" s="316"/>
      <c r="C48" s="316"/>
      <c r="D48" s="316"/>
      <c r="E48" s="316"/>
      <c r="F48" s="316"/>
      <c r="G48" s="22"/>
      <c r="H48" s="22"/>
      <c r="I48" s="22"/>
      <c r="J48" s="317" t="s">
        <v>50</v>
      </c>
      <c r="K48" s="317"/>
      <c r="L48" s="317"/>
      <c r="M48" s="317"/>
      <c r="N48" s="318"/>
      <c r="O48" s="318"/>
      <c r="P48" s="45"/>
      <c r="Q48" s="45"/>
      <c r="R48" s="45"/>
      <c r="S48" s="319" t="s">
        <v>51</v>
      </c>
      <c r="T48" s="319"/>
      <c r="U48" s="319"/>
      <c r="V48" s="319"/>
      <c r="W48" s="319"/>
    </row>
    <row r="49" spans="1:23" s="1" customFormat="1" ht="12.75" thickBot="1" x14ac:dyDescent="0.2">
      <c r="A49" s="24"/>
      <c r="B49" s="25"/>
      <c r="C49" s="25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1"/>
      <c r="V49" s="21"/>
      <c r="W49" s="21"/>
    </row>
    <row r="50" spans="1:23" x14ac:dyDescent="0.15">
      <c r="A50" s="148" t="s">
        <v>280</v>
      </c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50"/>
    </row>
    <row r="51" spans="1:23" ht="14.25" thickBot="1" x14ac:dyDescent="0.2">
      <c r="A51" s="151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3"/>
    </row>
    <row r="52" spans="1:23" ht="24.95" customHeight="1" thickBot="1" x14ac:dyDescent="0.2">
      <c r="A52" s="154" t="s">
        <v>281</v>
      </c>
      <c r="B52" s="155"/>
      <c r="C52" s="156" t="s">
        <v>282</v>
      </c>
      <c r="D52" s="157"/>
      <c r="E52" s="157" t="s">
        <v>283</v>
      </c>
      <c r="F52" s="157"/>
      <c r="G52" s="157" t="s">
        <v>284</v>
      </c>
      <c r="H52" s="157"/>
      <c r="I52" s="157" t="s">
        <v>285</v>
      </c>
      <c r="J52" s="157"/>
      <c r="K52" s="157" t="s">
        <v>286</v>
      </c>
      <c r="L52" s="158"/>
      <c r="M52" s="159" t="s">
        <v>287</v>
      </c>
      <c r="N52" s="160"/>
      <c r="O52" s="160"/>
      <c r="P52" s="160"/>
      <c r="Q52" s="160"/>
      <c r="R52" s="160"/>
      <c r="S52" s="160"/>
      <c r="T52" s="160"/>
      <c r="U52" s="160"/>
      <c r="V52" s="160"/>
      <c r="W52" s="161"/>
    </row>
    <row r="53" spans="1:23" ht="24.95" customHeight="1" x14ac:dyDescent="0.15">
      <c r="A53" s="162"/>
      <c r="B53" s="163"/>
      <c r="C53" s="164"/>
      <c r="D53" s="165"/>
      <c r="E53" s="165"/>
      <c r="F53" s="165"/>
      <c r="G53" s="165"/>
      <c r="H53" s="165"/>
      <c r="I53" s="165"/>
      <c r="J53" s="165"/>
      <c r="K53" s="165"/>
      <c r="L53" s="166"/>
      <c r="M53" s="167"/>
      <c r="N53" s="168"/>
      <c r="O53" s="168"/>
      <c r="P53" s="168"/>
      <c r="Q53" s="168"/>
      <c r="R53" s="168"/>
      <c r="S53" s="168"/>
      <c r="T53" s="168"/>
      <c r="U53" s="168"/>
      <c r="V53" s="168"/>
      <c r="W53" s="169"/>
    </row>
    <row r="54" spans="1:23" ht="24.95" customHeight="1" x14ac:dyDescent="0.15">
      <c r="A54" s="503"/>
      <c r="B54" s="504"/>
      <c r="C54" s="505"/>
      <c r="D54" s="506"/>
      <c r="E54" s="506"/>
      <c r="F54" s="506"/>
      <c r="G54" s="506"/>
      <c r="H54" s="506"/>
      <c r="I54" s="506"/>
      <c r="J54" s="506"/>
      <c r="K54" s="506"/>
      <c r="L54" s="507"/>
      <c r="M54" s="508"/>
      <c r="N54" s="509"/>
      <c r="O54" s="509"/>
      <c r="P54" s="509"/>
      <c r="Q54" s="509"/>
      <c r="R54" s="509"/>
      <c r="S54" s="509"/>
      <c r="T54" s="509"/>
      <c r="U54" s="509"/>
      <c r="V54" s="509"/>
      <c r="W54" s="510"/>
    </row>
    <row r="55" spans="1:23" ht="24.95" customHeight="1" x14ac:dyDescent="0.15">
      <c r="A55" s="503"/>
      <c r="B55" s="504"/>
      <c r="C55" s="505"/>
      <c r="D55" s="506"/>
      <c r="E55" s="506"/>
      <c r="F55" s="506"/>
      <c r="G55" s="506"/>
      <c r="H55" s="506"/>
      <c r="I55" s="506"/>
      <c r="J55" s="506"/>
      <c r="K55" s="506"/>
      <c r="L55" s="507"/>
      <c r="M55" s="508"/>
      <c r="N55" s="509"/>
      <c r="O55" s="509"/>
      <c r="P55" s="509"/>
      <c r="Q55" s="509"/>
      <c r="R55" s="509"/>
      <c r="S55" s="509"/>
      <c r="T55" s="509"/>
      <c r="U55" s="509"/>
      <c r="V55" s="509"/>
      <c r="W55" s="510"/>
    </row>
    <row r="56" spans="1:23" ht="24.95" customHeight="1" x14ac:dyDescent="0.15">
      <c r="A56" s="503"/>
      <c r="B56" s="504"/>
      <c r="C56" s="505"/>
      <c r="D56" s="506"/>
      <c r="E56" s="506"/>
      <c r="F56" s="506"/>
      <c r="G56" s="506"/>
      <c r="H56" s="506"/>
      <c r="I56" s="506"/>
      <c r="J56" s="506"/>
      <c r="K56" s="506"/>
      <c r="L56" s="507"/>
      <c r="M56" s="508"/>
      <c r="N56" s="509"/>
      <c r="O56" s="509"/>
      <c r="P56" s="509"/>
      <c r="Q56" s="509"/>
      <c r="R56" s="509"/>
      <c r="S56" s="509"/>
      <c r="T56" s="509"/>
      <c r="U56" s="509"/>
      <c r="V56" s="509"/>
      <c r="W56" s="510"/>
    </row>
    <row r="57" spans="1:23" ht="24.95" customHeight="1" x14ac:dyDescent="0.15">
      <c r="A57" s="503"/>
      <c r="B57" s="504"/>
      <c r="C57" s="505"/>
      <c r="D57" s="506"/>
      <c r="E57" s="506"/>
      <c r="F57" s="506"/>
      <c r="G57" s="506"/>
      <c r="H57" s="506"/>
      <c r="I57" s="506"/>
      <c r="J57" s="506"/>
      <c r="K57" s="506"/>
      <c r="L57" s="507"/>
      <c r="M57" s="508"/>
      <c r="N57" s="509"/>
      <c r="O57" s="509"/>
      <c r="P57" s="509"/>
      <c r="Q57" s="509"/>
      <c r="R57" s="509"/>
      <c r="S57" s="509"/>
      <c r="T57" s="509"/>
      <c r="U57" s="509"/>
      <c r="V57" s="509"/>
      <c r="W57" s="510"/>
    </row>
    <row r="58" spans="1:23" ht="24.95" customHeight="1" x14ac:dyDescent="0.15">
      <c r="A58" s="503"/>
      <c r="B58" s="504"/>
      <c r="C58" s="505"/>
      <c r="D58" s="506"/>
      <c r="E58" s="506"/>
      <c r="F58" s="506"/>
      <c r="G58" s="506"/>
      <c r="H58" s="506"/>
      <c r="I58" s="506"/>
      <c r="J58" s="506"/>
      <c r="K58" s="506"/>
      <c r="L58" s="507"/>
      <c r="M58" s="508"/>
      <c r="N58" s="509"/>
      <c r="O58" s="509"/>
      <c r="P58" s="509"/>
      <c r="Q58" s="509"/>
      <c r="R58" s="509"/>
      <c r="S58" s="509"/>
      <c r="T58" s="509"/>
      <c r="U58" s="509"/>
      <c r="V58" s="509"/>
      <c r="W58" s="510"/>
    </row>
    <row r="59" spans="1:23" ht="24.95" customHeight="1" x14ac:dyDescent="0.15">
      <c r="A59" s="503"/>
      <c r="B59" s="504"/>
      <c r="C59" s="505"/>
      <c r="D59" s="506"/>
      <c r="E59" s="506"/>
      <c r="F59" s="506"/>
      <c r="G59" s="506"/>
      <c r="H59" s="506"/>
      <c r="I59" s="506"/>
      <c r="J59" s="506"/>
      <c r="K59" s="506"/>
      <c r="L59" s="507"/>
      <c r="M59" s="508"/>
      <c r="N59" s="509"/>
      <c r="O59" s="509"/>
      <c r="P59" s="509"/>
      <c r="Q59" s="509"/>
      <c r="R59" s="509"/>
      <c r="S59" s="509"/>
      <c r="T59" s="509"/>
      <c r="U59" s="509"/>
      <c r="V59" s="509"/>
      <c r="W59" s="510"/>
    </row>
    <row r="60" spans="1:23" ht="24.95" customHeight="1" x14ac:dyDescent="0.15">
      <c r="A60" s="503"/>
      <c r="B60" s="504"/>
      <c r="C60" s="505"/>
      <c r="D60" s="506"/>
      <c r="E60" s="506"/>
      <c r="F60" s="506"/>
      <c r="G60" s="506"/>
      <c r="H60" s="506"/>
      <c r="I60" s="506"/>
      <c r="J60" s="506"/>
      <c r="K60" s="506"/>
      <c r="L60" s="507"/>
      <c r="M60" s="508"/>
      <c r="N60" s="509"/>
      <c r="O60" s="509"/>
      <c r="P60" s="509"/>
      <c r="Q60" s="509"/>
      <c r="R60" s="509"/>
      <c r="S60" s="509"/>
      <c r="T60" s="509"/>
      <c r="U60" s="509"/>
      <c r="V60" s="509"/>
      <c r="W60" s="510"/>
    </row>
    <row r="61" spans="1:23" ht="24.95" customHeight="1" x14ac:dyDescent="0.15">
      <c r="A61" s="503"/>
      <c r="B61" s="504"/>
      <c r="C61" s="505"/>
      <c r="D61" s="506"/>
      <c r="E61" s="506"/>
      <c r="F61" s="506"/>
      <c r="G61" s="506"/>
      <c r="H61" s="506"/>
      <c r="I61" s="506"/>
      <c r="J61" s="506"/>
      <c r="K61" s="506"/>
      <c r="L61" s="507"/>
      <c r="M61" s="508"/>
      <c r="N61" s="509"/>
      <c r="O61" s="509"/>
      <c r="P61" s="509"/>
      <c r="Q61" s="509"/>
      <c r="R61" s="509"/>
      <c r="S61" s="509"/>
      <c r="T61" s="509"/>
      <c r="U61" s="509"/>
      <c r="V61" s="509"/>
      <c r="W61" s="510"/>
    </row>
    <row r="62" spans="1:23" ht="24.95" customHeight="1" x14ac:dyDescent="0.15">
      <c r="A62" s="503"/>
      <c r="B62" s="504"/>
      <c r="C62" s="505"/>
      <c r="D62" s="506"/>
      <c r="E62" s="506"/>
      <c r="F62" s="506"/>
      <c r="G62" s="506"/>
      <c r="H62" s="506"/>
      <c r="I62" s="506"/>
      <c r="J62" s="506"/>
      <c r="K62" s="506"/>
      <c r="L62" s="507"/>
      <c r="M62" s="508"/>
      <c r="N62" s="509"/>
      <c r="O62" s="509"/>
      <c r="P62" s="509"/>
      <c r="Q62" s="509"/>
      <c r="R62" s="509"/>
      <c r="S62" s="509"/>
      <c r="T62" s="509"/>
      <c r="U62" s="509"/>
      <c r="V62" s="509"/>
      <c r="W62" s="510"/>
    </row>
    <row r="63" spans="1:23" ht="24.95" customHeight="1" x14ac:dyDescent="0.15">
      <c r="A63" s="503"/>
      <c r="B63" s="504"/>
      <c r="C63" s="505"/>
      <c r="D63" s="506"/>
      <c r="E63" s="506"/>
      <c r="F63" s="506"/>
      <c r="G63" s="506"/>
      <c r="H63" s="506"/>
      <c r="I63" s="506"/>
      <c r="J63" s="506"/>
      <c r="K63" s="506"/>
      <c r="L63" s="507"/>
      <c r="M63" s="508"/>
      <c r="N63" s="509"/>
      <c r="O63" s="509"/>
      <c r="P63" s="509"/>
      <c r="Q63" s="509"/>
      <c r="R63" s="509"/>
      <c r="S63" s="509"/>
      <c r="T63" s="509"/>
      <c r="U63" s="509"/>
      <c r="V63" s="509"/>
      <c r="W63" s="510"/>
    </row>
    <row r="64" spans="1:23" ht="24.95" customHeight="1" x14ac:dyDescent="0.15">
      <c r="A64" s="503"/>
      <c r="B64" s="504"/>
      <c r="C64" s="505"/>
      <c r="D64" s="506"/>
      <c r="E64" s="506"/>
      <c r="F64" s="506"/>
      <c r="G64" s="506"/>
      <c r="H64" s="506"/>
      <c r="I64" s="506"/>
      <c r="J64" s="506"/>
      <c r="K64" s="506"/>
      <c r="L64" s="507"/>
      <c r="M64" s="508"/>
      <c r="N64" s="509"/>
      <c r="O64" s="509"/>
      <c r="P64" s="509"/>
      <c r="Q64" s="509"/>
      <c r="R64" s="509"/>
      <c r="S64" s="509"/>
      <c r="T64" s="509"/>
      <c r="U64" s="509"/>
      <c r="V64" s="509"/>
      <c r="W64" s="510"/>
    </row>
    <row r="65" spans="1:23" ht="24.95" customHeight="1" x14ac:dyDescent="0.15">
      <c r="A65" s="503"/>
      <c r="B65" s="504"/>
      <c r="C65" s="505"/>
      <c r="D65" s="506"/>
      <c r="E65" s="506"/>
      <c r="F65" s="506"/>
      <c r="G65" s="506"/>
      <c r="H65" s="506"/>
      <c r="I65" s="506"/>
      <c r="J65" s="506"/>
      <c r="K65" s="506"/>
      <c r="L65" s="507"/>
      <c r="M65" s="508"/>
      <c r="N65" s="509"/>
      <c r="O65" s="509"/>
      <c r="P65" s="509"/>
      <c r="Q65" s="509"/>
      <c r="R65" s="509"/>
      <c r="S65" s="509"/>
      <c r="T65" s="509"/>
      <c r="U65" s="509"/>
      <c r="V65" s="509"/>
      <c r="W65" s="510"/>
    </row>
    <row r="66" spans="1:23" ht="24.95" customHeight="1" x14ac:dyDescent="0.15">
      <c r="A66" s="503"/>
      <c r="B66" s="504"/>
      <c r="C66" s="505"/>
      <c r="D66" s="506"/>
      <c r="E66" s="506"/>
      <c r="F66" s="506"/>
      <c r="G66" s="506"/>
      <c r="H66" s="506"/>
      <c r="I66" s="506"/>
      <c r="J66" s="506"/>
      <c r="K66" s="506"/>
      <c r="L66" s="507"/>
      <c r="M66" s="508"/>
      <c r="N66" s="509"/>
      <c r="O66" s="509"/>
      <c r="P66" s="509"/>
      <c r="Q66" s="509"/>
      <c r="R66" s="509"/>
      <c r="S66" s="509"/>
      <c r="T66" s="509"/>
      <c r="U66" s="509"/>
      <c r="V66" s="509"/>
      <c r="W66" s="510"/>
    </row>
    <row r="67" spans="1:23" ht="24.95" customHeight="1" x14ac:dyDescent="0.15">
      <c r="A67" s="503"/>
      <c r="B67" s="504"/>
      <c r="C67" s="505"/>
      <c r="D67" s="506"/>
      <c r="E67" s="506"/>
      <c r="F67" s="506"/>
      <c r="G67" s="506"/>
      <c r="H67" s="506"/>
      <c r="I67" s="506"/>
      <c r="J67" s="506"/>
      <c r="K67" s="506"/>
      <c r="L67" s="507"/>
      <c r="M67" s="508"/>
      <c r="N67" s="509"/>
      <c r="O67" s="509"/>
      <c r="P67" s="509"/>
      <c r="Q67" s="509"/>
      <c r="R67" s="509"/>
      <c r="S67" s="509"/>
      <c r="T67" s="509"/>
      <c r="U67" s="509"/>
      <c r="V67" s="509"/>
      <c r="W67" s="510"/>
    </row>
    <row r="68" spans="1:23" ht="24.95" customHeight="1" x14ac:dyDescent="0.15">
      <c r="A68" s="122"/>
      <c r="B68" s="123"/>
      <c r="C68" s="505"/>
      <c r="D68" s="506"/>
      <c r="E68" s="506"/>
      <c r="F68" s="506"/>
      <c r="G68" s="506"/>
      <c r="H68" s="506"/>
      <c r="I68" s="506"/>
      <c r="J68" s="506"/>
      <c r="K68" s="506"/>
      <c r="L68" s="507"/>
      <c r="M68" s="124"/>
      <c r="N68" s="125"/>
      <c r="O68" s="125"/>
      <c r="P68" s="125"/>
      <c r="Q68" s="125"/>
      <c r="R68" s="125"/>
      <c r="S68" s="125"/>
      <c r="T68" s="125"/>
      <c r="U68" s="125"/>
      <c r="V68" s="125"/>
      <c r="W68" s="126"/>
    </row>
    <row r="69" spans="1:23" ht="24.95" customHeight="1" x14ac:dyDescent="0.15">
      <c r="A69" s="503"/>
      <c r="B69" s="504"/>
      <c r="C69" s="505"/>
      <c r="D69" s="506"/>
      <c r="E69" s="506"/>
      <c r="F69" s="506"/>
      <c r="G69" s="506"/>
      <c r="H69" s="506"/>
      <c r="I69" s="506"/>
      <c r="J69" s="506"/>
      <c r="K69" s="506"/>
      <c r="L69" s="507"/>
      <c r="M69" s="508"/>
      <c r="N69" s="509"/>
      <c r="O69" s="509"/>
      <c r="P69" s="509"/>
      <c r="Q69" s="509"/>
      <c r="R69" s="509"/>
      <c r="S69" s="509"/>
      <c r="T69" s="509"/>
      <c r="U69" s="509"/>
      <c r="V69" s="509"/>
      <c r="W69" s="510"/>
    </row>
    <row r="70" spans="1:23" ht="24.95" customHeight="1" thickBot="1" x14ac:dyDescent="0.2">
      <c r="A70" s="516"/>
      <c r="B70" s="517"/>
      <c r="C70" s="518"/>
      <c r="D70" s="519"/>
      <c r="E70" s="519"/>
      <c r="F70" s="519"/>
      <c r="G70" s="519"/>
      <c r="H70" s="519"/>
      <c r="I70" s="519"/>
      <c r="J70" s="519"/>
      <c r="K70" s="519"/>
      <c r="L70" s="520"/>
      <c r="M70" s="521"/>
      <c r="N70" s="522"/>
      <c r="O70" s="522"/>
      <c r="P70" s="522"/>
      <c r="Q70" s="522"/>
      <c r="R70" s="522"/>
      <c r="S70" s="522"/>
      <c r="T70" s="522"/>
      <c r="U70" s="522"/>
      <c r="V70" s="522"/>
      <c r="W70" s="523"/>
    </row>
    <row r="71" spans="1:23" ht="14.25" thickBot="1" x14ac:dyDescent="0.2">
      <c r="A71" s="127"/>
      <c r="B71" s="128"/>
      <c r="C71" s="129"/>
      <c r="D71" s="129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28"/>
      <c r="S71" s="128"/>
      <c r="T71" s="128"/>
      <c r="U71" s="128"/>
      <c r="V71" s="130"/>
      <c r="W71" s="131"/>
    </row>
    <row r="72" spans="1:23" s="1" customFormat="1" ht="12" customHeight="1" x14ac:dyDescent="0.15">
      <c r="A72" s="135" t="s">
        <v>208</v>
      </c>
      <c r="B72" s="136"/>
      <c r="C72" s="136"/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7"/>
    </row>
    <row r="73" spans="1:23" s="1" customFormat="1" ht="33.75" customHeight="1" x14ac:dyDescent="0.15">
      <c r="A73" s="138"/>
      <c r="B73" s="139"/>
      <c r="C73" s="139"/>
      <c r="D73" s="139"/>
      <c r="E73" s="139"/>
      <c r="F73" s="139"/>
      <c r="G73" s="139"/>
      <c r="H73" s="139"/>
      <c r="I73" s="139"/>
      <c r="J73" s="139"/>
      <c r="K73" s="139"/>
      <c r="L73" s="139"/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40"/>
    </row>
    <row r="74" spans="1:23" s="1" customFormat="1" ht="13.5" customHeight="1" x14ac:dyDescent="0.15">
      <c r="A74" s="132" t="s">
        <v>209</v>
      </c>
      <c r="B74" s="133"/>
      <c r="C74" s="133" t="s">
        <v>198</v>
      </c>
      <c r="D74" s="133"/>
      <c r="E74" s="133" t="s">
        <v>199</v>
      </c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 t="s">
        <v>200</v>
      </c>
      <c r="S74" s="133"/>
      <c r="T74" s="133" t="s">
        <v>201</v>
      </c>
      <c r="U74" s="133"/>
      <c r="V74" s="133" t="s">
        <v>197</v>
      </c>
      <c r="W74" s="141"/>
    </row>
    <row r="75" spans="1:23" s="1" customFormat="1" ht="13.5" customHeight="1" x14ac:dyDescent="0.15">
      <c r="A75" s="132"/>
      <c r="B75" s="133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41"/>
    </row>
    <row r="76" spans="1:23" x14ac:dyDescent="0.15">
      <c r="A76" s="142" t="s">
        <v>210</v>
      </c>
      <c r="B76" s="143"/>
      <c r="C76" s="134" t="s">
        <v>206</v>
      </c>
      <c r="D76" s="134"/>
      <c r="E76" s="134" t="s">
        <v>202</v>
      </c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3" t="s">
        <v>205</v>
      </c>
      <c r="S76" s="133"/>
      <c r="T76" s="144"/>
      <c r="U76" s="144"/>
      <c r="V76" s="133" t="s">
        <v>203</v>
      </c>
      <c r="W76" s="141"/>
    </row>
    <row r="77" spans="1:23" x14ac:dyDescent="0.15">
      <c r="A77" s="142"/>
      <c r="B77" s="143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3"/>
      <c r="S77" s="133"/>
      <c r="T77" s="144"/>
      <c r="U77" s="144"/>
      <c r="V77" s="133"/>
      <c r="W77" s="141"/>
    </row>
    <row r="78" spans="1:23" ht="13.5" customHeight="1" x14ac:dyDescent="0.15">
      <c r="A78" s="132">
        <v>1</v>
      </c>
      <c r="B78" s="133"/>
      <c r="C78" s="134" t="s">
        <v>211</v>
      </c>
      <c r="D78" s="134"/>
      <c r="E78" s="145" t="s">
        <v>221</v>
      </c>
      <c r="F78" s="145"/>
      <c r="G78" s="145"/>
      <c r="H78" s="145"/>
      <c r="I78" s="145"/>
      <c r="J78" s="145"/>
      <c r="K78" s="145"/>
      <c r="L78" s="145"/>
      <c r="M78" s="145"/>
      <c r="N78" s="145"/>
      <c r="O78" s="145"/>
      <c r="P78" s="145"/>
      <c r="Q78" s="145"/>
      <c r="R78" s="133" t="s">
        <v>207</v>
      </c>
      <c r="S78" s="133"/>
      <c r="T78" s="144"/>
      <c r="U78" s="144"/>
      <c r="V78" s="133" t="s">
        <v>204</v>
      </c>
      <c r="W78" s="141"/>
    </row>
    <row r="79" spans="1:23" ht="13.5" customHeight="1" x14ac:dyDescent="0.15">
      <c r="A79" s="132"/>
      <c r="B79" s="133"/>
      <c r="C79" s="134"/>
      <c r="D79" s="134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33"/>
      <c r="S79" s="133"/>
      <c r="T79" s="144"/>
      <c r="U79" s="144"/>
      <c r="V79" s="133"/>
      <c r="W79" s="141"/>
    </row>
    <row r="80" spans="1:23" x14ac:dyDescent="0.15">
      <c r="A80" s="132"/>
      <c r="B80" s="133"/>
      <c r="C80" s="134"/>
      <c r="D80" s="134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33"/>
      <c r="S80" s="133"/>
      <c r="T80" s="144"/>
      <c r="U80" s="144"/>
      <c r="V80" s="133"/>
      <c r="W80" s="141"/>
    </row>
    <row r="81" spans="1:23" x14ac:dyDescent="0.15">
      <c r="A81" s="132">
        <v>2</v>
      </c>
      <c r="B81" s="133"/>
      <c r="C81" s="134"/>
      <c r="D81" s="134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33"/>
      <c r="S81" s="133"/>
      <c r="T81" s="133"/>
      <c r="U81" s="133"/>
      <c r="V81" s="146"/>
      <c r="W81" s="147"/>
    </row>
    <row r="82" spans="1:23" x14ac:dyDescent="0.15">
      <c r="A82" s="132"/>
      <c r="B82" s="133"/>
      <c r="C82" s="134"/>
      <c r="D82" s="134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33"/>
      <c r="S82" s="133"/>
      <c r="T82" s="133"/>
      <c r="U82" s="133"/>
      <c r="V82" s="146"/>
      <c r="W82" s="147"/>
    </row>
    <row r="83" spans="1:23" x14ac:dyDescent="0.15">
      <c r="A83" s="132">
        <v>3</v>
      </c>
      <c r="B83" s="133"/>
      <c r="C83" s="134"/>
      <c r="D83" s="134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33"/>
      <c r="S83" s="133"/>
      <c r="T83" s="133"/>
      <c r="U83" s="133"/>
      <c r="V83" s="146"/>
      <c r="W83" s="147"/>
    </row>
    <row r="84" spans="1:23" x14ac:dyDescent="0.15">
      <c r="A84" s="132"/>
      <c r="B84" s="133"/>
      <c r="C84" s="134"/>
      <c r="D84" s="134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33"/>
      <c r="S84" s="133"/>
      <c r="T84" s="133"/>
      <c r="U84" s="133"/>
      <c r="V84" s="146"/>
      <c r="W84" s="147"/>
    </row>
    <row r="85" spans="1:23" x14ac:dyDescent="0.15">
      <c r="A85" s="132">
        <v>4</v>
      </c>
      <c r="B85" s="133"/>
      <c r="C85" s="134"/>
      <c r="D85" s="134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33"/>
      <c r="S85" s="133"/>
      <c r="T85" s="133"/>
      <c r="U85" s="133"/>
      <c r="V85" s="146"/>
      <c r="W85" s="147"/>
    </row>
    <row r="86" spans="1:23" x14ac:dyDescent="0.15">
      <c r="A86" s="132"/>
      <c r="B86" s="133"/>
      <c r="C86" s="134"/>
      <c r="D86" s="134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33"/>
      <c r="S86" s="133"/>
      <c r="T86" s="133"/>
      <c r="U86" s="133"/>
      <c r="V86" s="146"/>
      <c r="W86" s="147"/>
    </row>
    <row r="87" spans="1:23" x14ac:dyDescent="0.15">
      <c r="A87" s="132">
        <v>5</v>
      </c>
      <c r="B87" s="133"/>
      <c r="C87" s="134"/>
      <c r="D87" s="134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33"/>
      <c r="S87" s="133"/>
      <c r="T87" s="133"/>
      <c r="U87" s="133"/>
      <c r="V87" s="146"/>
      <c r="W87" s="147"/>
    </row>
    <row r="88" spans="1:23" ht="14.25" thickBot="1" x14ac:dyDescent="0.2">
      <c r="A88" s="511"/>
      <c r="B88" s="512"/>
      <c r="C88" s="513"/>
      <c r="D88" s="513"/>
      <c r="E88" s="514"/>
      <c r="F88" s="514"/>
      <c r="G88" s="514"/>
      <c r="H88" s="514"/>
      <c r="I88" s="514"/>
      <c r="J88" s="514"/>
      <c r="K88" s="514"/>
      <c r="L88" s="514"/>
      <c r="M88" s="514"/>
      <c r="N88" s="514"/>
      <c r="O88" s="514"/>
      <c r="P88" s="514"/>
      <c r="Q88" s="514"/>
      <c r="R88" s="512"/>
      <c r="S88" s="512"/>
      <c r="T88" s="512"/>
      <c r="U88" s="512"/>
      <c r="V88" s="514"/>
      <c r="W88" s="515"/>
    </row>
  </sheetData>
  <mergeCells count="364">
    <mergeCell ref="C78:D80"/>
    <mergeCell ref="E78:Q80"/>
    <mergeCell ref="R78:S80"/>
    <mergeCell ref="T78:U80"/>
    <mergeCell ref="V78:W80"/>
    <mergeCell ref="A87:B88"/>
    <mergeCell ref="C87:D88"/>
    <mergeCell ref="E87:Q88"/>
    <mergeCell ref="R87:S88"/>
    <mergeCell ref="T87:U88"/>
    <mergeCell ref="V87:W88"/>
    <mergeCell ref="A85:B86"/>
    <mergeCell ref="C85:D86"/>
    <mergeCell ref="E85:Q86"/>
    <mergeCell ref="R85:S86"/>
    <mergeCell ref="T85:U86"/>
    <mergeCell ref="V85:W86"/>
    <mergeCell ref="V81:W82"/>
    <mergeCell ref="M69:W69"/>
    <mergeCell ref="A70:B70"/>
    <mergeCell ref="C70:D70"/>
    <mergeCell ref="E70:F70"/>
    <mergeCell ref="G70:H70"/>
    <mergeCell ref="I70:J70"/>
    <mergeCell ref="K70:L70"/>
    <mergeCell ref="M70:W70"/>
    <mergeCell ref="A72:W73"/>
    <mergeCell ref="C68:D68"/>
    <mergeCell ref="E68:F68"/>
    <mergeCell ref="G68:H68"/>
    <mergeCell ref="I68:J68"/>
    <mergeCell ref="K68:L68"/>
    <mergeCell ref="A69:B69"/>
    <mergeCell ref="C69:D69"/>
    <mergeCell ref="E69:F69"/>
    <mergeCell ref="G69:H69"/>
    <mergeCell ref="I69:J69"/>
    <mergeCell ref="K69:L69"/>
    <mergeCell ref="A66:B66"/>
    <mergeCell ref="C66:D66"/>
    <mergeCell ref="E66:F66"/>
    <mergeCell ref="G66:H66"/>
    <mergeCell ref="I66:J66"/>
    <mergeCell ref="K66:L66"/>
    <mergeCell ref="M66:W66"/>
    <mergeCell ref="A67:B67"/>
    <mergeCell ref="C67:D67"/>
    <mergeCell ref="E67:F67"/>
    <mergeCell ref="G67:H67"/>
    <mergeCell ref="I67:J67"/>
    <mergeCell ref="K67:L67"/>
    <mergeCell ref="M67:W67"/>
    <mergeCell ref="A64:B64"/>
    <mergeCell ref="C64:D64"/>
    <mergeCell ref="E64:F64"/>
    <mergeCell ref="G64:H64"/>
    <mergeCell ref="I64:J64"/>
    <mergeCell ref="K64:L64"/>
    <mergeCell ref="M64:W64"/>
    <mergeCell ref="A65:B65"/>
    <mergeCell ref="C65:D65"/>
    <mergeCell ref="E65:F65"/>
    <mergeCell ref="G65:H65"/>
    <mergeCell ref="I65:J65"/>
    <mergeCell ref="K65:L65"/>
    <mergeCell ref="M65:W65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K63:L63"/>
    <mergeCell ref="M63:W63"/>
    <mergeCell ref="A60:B60"/>
    <mergeCell ref="C60:D60"/>
    <mergeCell ref="E60:F60"/>
    <mergeCell ref="G60:H60"/>
    <mergeCell ref="I60:J60"/>
    <mergeCell ref="K60:L60"/>
    <mergeCell ref="M60:W60"/>
    <mergeCell ref="A61:B61"/>
    <mergeCell ref="C61:D61"/>
    <mergeCell ref="E61:F61"/>
    <mergeCell ref="G61:H61"/>
    <mergeCell ref="I61:J61"/>
    <mergeCell ref="K61:L61"/>
    <mergeCell ref="M61:W61"/>
    <mergeCell ref="A58:B58"/>
    <mergeCell ref="C58:D58"/>
    <mergeCell ref="E58:F58"/>
    <mergeCell ref="G58:H58"/>
    <mergeCell ref="I58:J58"/>
    <mergeCell ref="K58:L58"/>
    <mergeCell ref="M58:W58"/>
    <mergeCell ref="A59:B59"/>
    <mergeCell ref="C59:D59"/>
    <mergeCell ref="E59:F59"/>
    <mergeCell ref="G59:H59"/>
    <mergeCell ref="I59:J59"/>
    <mergeCell ref="K59:L59"/>
    <mergeCell ref="M59:W59"/>
    <mergeCell ref="A56:B56"/>
    <mergeCell ref="C56:D56"/>
    <mergeCell ref="E56:F56"/>
    <mergeCell ref="G56:H56"/>
    <mergeCell ref="I56:J56"/>
    <mergeCell ref="K56:L56"/>
    <mergeCell ref="M56:W56"/>
    <mergeCell ref="A57:B57"/>
    <mergeCell ref="C57:D57"/>
    <mergeCell ref="E57:F57"/>
    <mergeCell ref="G57:H57"/>
    <mergeCell ref="I57:J57"/>
    <mergeCell ref="K57:L57"/>
    <mergeCell ref="M57:W57"/>
    <mergeCell ref="A54:B54"/>
    <mergeCell ref="C54:D54"/>
    <mergeCell ref="E54:F54"/>
    <mergeCell ref="G54:H54"/>
    <mergeCell ref="I54:J54"/>
    <mergeCell ref="K54:L54"/>
    <mergeCell ref="M54:W54"/>
    <mergeCell ref="A55:B55"/>
    <mergeCell ref="C55:D55"/>
    <mergeCell ref="E55:F55"/>
    <mergeCell ref="G55:H55"/>
    <mergeCell ref="I55:J55"/>
    <mergeCell ref="K55:L55"/>
    <mergeCell ref="M55:W55"/>
    <mergeCell ref="A52:B52"/>
    <mergeCell ref="C52:D52"/>
    <mergeCell ref="E52:F52"/>
    <mergeCell ref="G52:H52"/>
    <mergeCell ref="I52:J52"/>
    <mergeCell ref="K52:L52"/>
    <mergeCell ref="M52:W52"/>
    <mergeCell ref="A53:B53"/>
    <mergeCell ref="C53:D53"/>
    <mergeCell ref="E53:F53"/>
    <mergeCell ref="G53:H53"/>
    <mergeCell ref="I53:J53"/>
    <mergeCell ref="K53:L53"/>
    <mergeCell ref="M53:W53"/>
    <mergeCell ref="A48:F48"/>
    <mergeCell ref="J48:O48"/>
    <mergeCell ref="S48:W48"/>
    <mergeCell ref="T32:W33"/>
    <mergeCell ref="A47:B47"/>
    <mergeCell ref="C47:G47"/>
    <mergeCell ref="L47:M47"/>
    <mergeCell ref="A46:B46"/>
    <mergeCell ref="C46:G46"/>
    <mergeCell ref="A45:B45"/>
    <mergeCell ref="C45:G45"/>
    <mergeCell ref="A44:B44"/>
    <mergeCell ref="C44:G44"/>
    <mergeCell ref="L44:M44"/>
    <mergeCell ref="A42:B43"/>
    <mergeCell ref="H44:K47"/>
    <mergeCell ref="N42:W43"/>
    <mergeCell ref="N44:W47"/>
    <mergeCell ref="L45:M46"/>
    <mergeCell ref="A34:M34"/>
    <mergeCell ref="N34:W34"/>
    <mergeCell ref="A35:M40"/>
    <mergeCell ref="N35:W36"/>
    <mergeCell ref="N37:W40"/>
    <mergeCell ref="A41:W41"/>
    <mergeCell ref="C42:G43"/>
    <mergeCell ref="H42:K43"/>
    <mergeCell ref="L42:M43"/>
    <mergeCell ref="R28:T28"/>
    <mergeCell ref="U28:W28"/>
    <mergeCell ref="N32:R33"/>
    <mergeCell ref="S32:S33"/>
    <mergeCell ref="E29:I29"/>
    <mergeCell ref="R29:T29"/>
    <mergeCell ref="U29:W29"/>
    <mergeCell ref="E30:I30"/>
    <mergeCell ref="R30:T30"/>
    <mergeCell ref="U30:W30"/>
    <mergeCell ref="Q27:Q31"/>
    <mergeCell ref="R27:T27"/>
    <mergeCell ref="U27:W27"/>
    <mergeCell ref="D27:F27"/>
    <mergeCell ref="A32:D33"/>
    <mergeCell ref="E32:F32"/>
    <mergeCell ref="G32:H32"/>
    <mergeCell ref="I32:J32"/>
    <mergeCell ref="K32:M32"/>
    <mergeCell ref="E33:F33"/>
    <mergeCell ref="G33:H33"/>
    <mergeCell ref="I33:J33"/>
    <mergeCell ref="K33:M33"/>
    <mergeCell ref="U25:V25"/>
    <mergeCell ref="I26:K26"/>
    <mergeCell ref="O26:P27"/>
    <mergeCell ref="R26:T26"/>
    <mergeCell ref="U26:W26"/>
    <mergeCell ref="I27:K27"/>
    <mergeCell ref="N27:N31"/>
    <mergeCell ref="U31:W31"/>
    <mergeCell ref="A31:C31"/>
    <mergeCell ref="D31:G31"/>
    <mergeCell ref="H31:M31"/>
    <mergeCell ref="R31:T31"/>
    <mergeCell ref="A25:B27"/>
    <mergeCell ref="I25:K25"/>
    <mergeCell ref="L25:L27"/>
    <mergeCell ref="N25:N26"/>
    <mergeCell ref="O25:P25"/>
    <mergeCell ref="Q25:Q26"/>
    <mergeCell ref="R25:S25"/>
    <mergeCell ref="A28:B30"/>
    <mergeCell ref="C28:D30"/>
    <mergeCell ref="E28:I28"/>
    <mergeCell ref="J28:M28"/>
    <mergeCell ref="O28:P31"/>
    <mergeCell ref="A22:C22"/>
    <mergeCell ref="D22:O22"/>
    <mergeCell ref="T22:V22"/>
    <mergeCell ref="A23:C23"/>
    <mergeCell ref="D23:O23"/>
    <mergeCell ref="S23:S24"/>
    <mergeCell ref="U20:W20"/>
    <mergeCell ref="A21:C21"/>
    <mergeCell ref="D21:F21"/>
    <mergeCell ref="G21:L21"/>
    <mergeCell ref="M21:O21"/>
    <mergeCell ref="S21:T21"/>
    <mergeCell ref="U21:W21"/>
    <mergeCell ref="A20:C20"/>
    <mergeCell ref="D20:F20"/>
    <mergeCell ref="G20:I20"/>
    <mergeCell ref="J20:L20"/>
    <mergeCell ref="M20:O20"/>
    <mergeCell ref="S20:T20"/>
    <mergeCell ref="W23:W24"/>
    <mergeCell ref="T24:V24"/>
    <mergeCell ref="A19:C19"/>
    <mergeCell ref="D19:F19"/>
    <mergeCell ref="G19:I19"/>
    <mergeCell ref="J19:L19"/>
    <mergeCell ref="M19:O19"/>
    <mergeCell ref="S19:W19"/>
    <mergeCell ref="S17:W17"/>
    <mergeCell ref="D18:F18"/>
    <mergeCell ref="G18:I18"/>
    <mergeCell ref="J18:L18"/>
    <mergeCell ref="M18:O18"/>
    <mergeCell ref="S18:W18"/>
    <mergeCell ref="A16:B18"/>
    <mergeCell ref="D16:F16"/>
    <mergeCell ref="G16:I16"/>
    <mergeCell ref="J16:L16"/>
    <mergeCell ref="M16:O16"/>
    <mergeCell ref="P16:R17"/>
    <mergeCell ref="U12:W13"/>
    <mergeCell ref="S14:T14"/>
    <mergeCell ref="U14:W14"/>
    <mergeCell ref="G15:O15"/>
    <mergeCell ref="S15:T16"/>
    <mergeCell ref="U15:W16"/>
    <mergeCell ref="A10:C10"/>
    <mergeCell ref="D10:E10"/>
    <mergeCell ref="B12:C13"/>
    <mergeCell ref="E12:F13"/>
    <mergeCell ref="I12:J13"/>
    <mergeCell ref="K12:K13"/>
    <mergeCell ref="L12:M13"/>
    <mergeCell ref="O12:P13"/>
    <mergeCell ref="S12:T13"/>
    <mergeCell ref="F10:G11"/>
    <mergeCell ref="H10:I10"/>
    <mergeCell ref="K10:M11"/>
    <mergeCell ref="A11:E11"/>
    <mergeCell ref="H11:J11"/>
    <mergeCell ref="D7:D8"/>
    <mergeCell ref="E7:F8"/>
    <mergeCell ref="G7:G8"/>
    <mergeCell ref="H7:I8"/>
    <mergeCell ref="J7:J8"/>
    <mergeCell ref="U7:W7"/>
    <mergeCell ref="S8:T9"/>
    <mergeCell ref="U8:W9"/>
    <mergeCell ref="K7:L8"/>
    <mergeCell ref="M7:M8"/>
    <mergeCell ref="N7:O8"/>
    <mergeCell ref="P7:P8"/>
    <mergeCell ref="Q7:R8"/>
    <mergeCell ref="S7:T7"/>
    <mergeCell ref="A9:E9"/>
    <mergeCell ref="F9:L9"/>
    <mergeCell ref="M9:R9"/>
    <mergeCell ref="J5:M5"/>
    <mergeCell ref="A4:B4"/>
    <mergeCell ref="C4:G4"/>
    <mergeCell ref="H4:I4"/>
    <mergeCell ref="J4:M4"/>
    <mergeCell ref="N4:O5"/>
    <mergeCell ref="V4:W5"/>
    <mergeCell ref="P4:U5"/>
    <mergeCell ref="K1:M2"/>
    <mergeCell ref="N3:O3"/>
    <mergeCell ref="P3:R3"/>
    <mergeCell ref="S3:W3"/>
    <mergeCell ref="A5:B5"/>
    <mergeCell ref="C5:G5"/>
    <mergeCell ref="H5:I5"/>
    <mergeCell ref="S6:T6"/>
    <mergeCell ref="U6:W6"/>
    <mergeCell ref="A7:A8"/>
    <mergeCell ref="B7:C8"/>
    <mergeCell ref="A1:H2"/>
    <mergeCell ref="A50:W51"/>
    <mergeCell ref="N10:Q11"/>
    <mergeCell ref="R10:W10"/>
    <mergeCell ref="R11:T11"/>
    <mergeCell ref="U11:W11"/>
    <mergeCell ref="A6:C6"/>
    <mergeCell ref="D6:F6"/>
    <mergeCell ref="G6:I6"/>
    <mergeCell ref="J6:L6"/>
    <mergeCell ref="M6:O6"/>
    <mergeCell ref="D25:F25"/>
    <mergeCell ref="G25:H27"/>
    <mergeCell ref="D26:F26"/>
    <mergeCell ref="P6:R6"/>
    <mergeCell ref="I1:J2"/>
    <mergeCell ref="N1:O2"/>
    <mergeCell ref="P1:W2"/>
    <mergeCell ref="A3:C3"/>
    <mergeCell ref="D3:M3"/>
    <mergeCell ref="A74:B75"/>
    <mergeCell ref="C74:D75"/>
    <mergeCell ref="E74:Q75"/>
    <mergeCell ref="R74:S75"/>
    <mergeCell ref="T74:U75"/>
    <mergeCell ref="V74:W75"/>
    <mergeCell ref="A83:B84"/>
    <mergeCell ref="C83:D84"/>
    <mergeCell ref="E83:Q84"/>
    <mergeCell ref="R83:S84"/>
    <mergeCell ref="T83:U84"/>
    <mergeCell ref="A76:B77"/>
    <mergeCell ref="C76:D77"/>
    <mergeCell ref="E76:Q77"/>
    <mergeCell ref="R76:S77"/>
    <mergeCell ref="T76:U77"/>
    <mergeCell ref="V76:W77"/>
    <mergeCell ref="A78:B80"/>
    <mergeCell ref="V83:W84"/>
    <mergeCell ref="A81:B82"/>
    <mergeCell ref="C81:D82"/>
    <mergeCell ref="E81:Q82"/>
    <mergeCell ref="R81:S82"/>
    <mergeCell ref="T81:U82"/>
  </mergeCells>
  <phoneticPr fontId="3" type="noConversion"/>
  <conditionalFormatting sqref="G21:O21">
    <cfRule type="cellIs" dxfId="6" priority="1" operator="equal">
      <formula>"CUT"</formula>
    </cfRule>
  </conditionalFormatting>
  <printOptions horizont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2060"/>
    <pageSetUpPr fitToPage="1"/>
  </sheetPr>
  <dimension ref="A1:O30"/>
  <sheetViews>
    <sheetView view="pageBreakPreview" zoomScale="80" zoomScaleNormal="90" zoomScaleSheetLayoutView="80" workbookViewId="0">
      <selection activeCell="L22" sqref="L22"/>
    </sheetView>
  </sheetViews>
  <sheetFormatPr defaultRowHeight="16.5" x14ac:dyDescent="0.15"/>
  <cols>
    <col min="1" max="1" width="8.5546875" style="61" customWidth="1"/>
    <col min="2" max="2" width="11.44140625" style="61" customWidth="1"/>
    <col min="3" max="3" width="8.5546875" style="61" customWidth="1"/>
    <col min="4" max="4" width="14" style="61" customWidth="1"/>
    <col min="5" max="5" width="1.6640625" style="61" customWidth="1"/>
    <col min="6" max="6" width="8.5546875" style="61" customWidth="1"/>
    <col min="7" max="7" width="11.44140625" style="61" customWidth="1"/>
    <col min="8" max="8" width="8.5546875" style="61" customWidth="1"/>
    <col min="9" max="9" width="14.109375" style="61" customWidth="1"/>
    <col min="10" max="11" width="8.88671875" style="49"/>
    <col min="12" max="12" width="17" style="49" customWidth="1"/>
    <col min="13" max="14" width="8.88671875" style="49"/>
    <col min="15" max="15" width="12.5546875" style="49" customWidth="1"/>
    <col min="16" max="16384" width="8.88671875" style="49"/>
  </cols>
  <sheetData>
    <row r="1" spans="1:15" ht="25.7" customHeight="1" x14ac:dyDescent="0.15">
      <c r="A1" s="614" t="s">
        <v>139</v>
      </c>
      <c r="B1" s="615"/>
      <c r="C1" s="615"/>
      <c r="D1" s="616"/>
      <c r="E1" s="53"/>
      <c r="F1" s="617" t="s">
        <v>139</v>
      </c>
      <c r="G1" s="618"/>
      <c r="H1" s="618"/>
      <c r="I1" s="619"/>
      <c r="L1" s="62" t="s">
        <v>140</v>
      </c>
      <c r="M1" s="63" t="s">
        <v>141</v>
      </c>
      <c r="N1" s="63" t="s">
        <v>142</v>
      </c>
      <c r="O1" s="70" t="s">
        <v>144</v>
      </c>
    </row>
    <row r="2" spans="1:15" ht="25.7" customHeight="1" x14ac:dyDescent="0.15">
      <c r="A2" s="54" t="s">
        <v>138</v>
      </c>
      <c r="B2" s="55" t="str">
        <f>sheet1!C5</f>
        <v>D-ENG[복열-VE사양]</v>
      </c>
      <c r="C2" s="56" t="s">
        <v>137</v>
      </c>
      <c r="D2" s="50" t="str">
        <f>sheet1!C4</f>
        <v>OUTTER RING</v>
      </c>
      <c r="E2" s="53"/>
      <c r="F2" s="54" t="s">
        <v>138</v>
      </c>
      <c r="G2" s="56" t="str">
        <f>$B$2</f>
        <v>D-ENG[복열-VE사양]</v>
      </c>
      <c r="H2" s="56" t="s">
        <v>137</v>
      </c>
      <c r="I2" s="51" t="str">
        <f>$D$2</f>
        <v>OUTTER RING</v>
      </c>
      <c r="L2" s="64" t="s">
        <v>148</v>
      </c>
      <c r="M2" s="65">
        <v>1500</v>
      </c>
      <c r="N2" s="65" t="s">
        <v>143</v>
      </c>
      <c r="O2" s="66" t="s">
        <v>145</v>
      </c>
    </row>
    <row r="3" spans="1:15" ht="25.7" customHeight="1" x14ac:dyDescent="0.15">
      <c r="A3" s="54" t="s">
        <v>136</v>
      </c>
      <c r="B3" s="56" t="str">
        <f>IF(ISERROR(VLOOKUP(B2,$L2:$O13,2,0)),"",VLOOKUP(B2,$L2:$O13,2,0))</f>
        <v/>
      </c>
      <c r="C3" s="56" t="s">
        <v>135</v>
      </c>
      <c r="D3" s="52" t="str">
        <f>IF(ISERROR(VLOOKUP(B2,$L2:$O13,3,0)),"",VLOOKUP(B2,$L2:$O13,3,0))</f>
        <v/>
      </c>
      <c r="E3" s="53"/>
      <c r="F3" s="54" t="s">
        <v>136</v>
      </c>
      <c r="G3" s="56" t="str">
        <f>$B$3</f>
        <v/>
      </c>
      <c r="H3" s="56" t="s">
        <v>135</v>
      </c>
      <c r="I3" s="51" t="str">
        <f>$D$3</f>
        <v/>
      </c>
      <c r="L3" s="64" t="s">
        <v>149</v>
      </c>
      <c r="M3" s="65">
        <v>1500</v>
      </c>
      <c r="N3" s="65" t="s">
        <v>143</v>
      </c>
      <c r="O3" s="66" t="s">
        <v>145</v>
      </c>
    </row>
    <row r="4" spans="1:15" ht="25.7" customHeight="1" x14ac:dyDescent="0.15">
      <c r="A4" s="54" t="s">
        <v>134</v>
      </c>
      <c r="B4" s="57" t="str">
        <f>sheet1!Y5</f>
        <v>000000-00-00-00</v>
      </c>
      <c r="C4" s="56" t="s">
        <v>133</v>
      </c>
      <c r="D4" s="71">
        <f ca="1">TODAY()+1</f>
        <v>44314</v>
      </c>
      <c r="E4" s="53"/>
      <c r="F4" s="54" t="s">
        <v>134</v>
      </c>
      <c r="G4" s="56" t="str">
        <f>$B$4</f>
        <v>000000-00-00-00</v>
      </c>
      <c r="H4" s="56" t="s">
        <v>133</v>
      </c>
      <c r="I4" s="71">
        <f ca="1">$D$4</f>
        <v>44314</v>
      </c>
      <c r="L4" s="64" t="s">
        <v>150</v>
      </c>
      <c r="M4" s="65">
        <v>1500</v>
      </c>
      <c r="N4" s="65" t="s">
        <v>151</v>
      </c>
      <c r="O4" s="66" t="s">
        <v>146</v>
      </c>
    </row>
    <row r="5" spans="1:15" ht="25.7" customHeight="1" thickBot="1" x14ac:dyDescent="0.2">
      <c r="A5" s="58" t="s">
        <v>132</v>
      </c>
      <c r="B5" s="59" t="str">
        <f>IF(ISERROR(VLOOKUP(B2,$L2:$O13,4,0)),"",VLOOKUP(B2,$L2:$O13,4,0))</f>
        <v/>
      </c>
      <c r="C5" s="59" t="s">
        <v>131</v>
      </c>
      <c r="D5" s="60" t="s">
        <v>130</v>
      </c>
      <c r="E5" s="53"/>
      <c r="F5" s="58" t="s">
        <v>132</v>
      </c>
      <c r="G5" s="56" t="str">
        <f>$B$5</f>
        <v/>
      </c>
      <c r="H5" s="59" t="s">
        <v>131</v>
      </c>
      <c r="I5" s="60" t="s">
        <v>130</v>
      </c>
      <c r="L5" s="64" t="s">
        <v>153</v>
      </c>
      <c r="M5" s="65">
        <v>200</v>
      </c>
      <c r="N5" s="65" t="s">
        <v>152</v>
      </c>
      <c r="O5" s="66" t="s">
        <v>146</v>
      </c>
    </row>
    <row r="6" spans="1:15" ht="25.7" customHeight="1" x14ac:dyDescent="0.15">
      <c r="A6" s="617" t="s">
        <v>139</v>
      </c>
      <c r="B6" s="618"/>
      <c r="C6" s="618"/>
      <c r="D6" s="619"/>
      <c r="E6" s="53"/>
      <c r="F6" s="617" t="s">
        <v>139</v>
      </c>
      <c r="G6" s="618"/>
      <c r="H6" s="618"/>
      <c r="I6" s="619"/>
      <c r="L6" s="64" t="s">
        <v>159</v>
      </c>
      <c r="M6" s="65">
        <v>200</v>
      </c>
      <c r="N6" s="65" t="s">
        <v>152</v>
      </c>
      <c r="O6" s="66" t="s">
        <v>146</v>
      </c>
    </row>
    <row r="7" spans="1:15" ht="25.7" customHeight="1" x14ac:dyDescent="0.15">
      <c r="A7" s="54" t="s">
        <v>138</v>
      </c>
      <c r="B7" s="56" t="str">
        <f>$B$2</f>
        <v>D-ENG[복열-VE사양]</v>
      </c>
      <c r="C7" s="56" t="s">
        <v>137</v>
      </c>
      <c r="D7" s="51" t="str">
        <f>$D$2</f>
        <v>OUTTER RING</v>
      </c>
      <c r="E7" s="53"/>
      <c r="F7" s="54" t="s">
        <v>138</v>
      </c>
      <c r="G7" s="56" t="str">
        <f>$B$2</f>
        <v>D-ENG[복열-VE사양]</v>
      </c>
      <c r="H7" s="56" t="s">
        <v>137</v>
      </c>
      <c r="I7" s="51" t="str">
        <f>$D$2</f>
        <v>OUTTER RING</v>
      </c>
      <c r="L7" s="64" t="s">
        <v>154</v>
      </c>
      <c r="M7" s="65">
        <v>500</v>
      </c>
      <c r="N7" s="65" t="s">
        <v>156</v>
      </c>
      <c r="O7" s="66" t="s">
        <v>158</v>
      </c>
    </row>
    <row r="8" spans="1:15" ht="25.7" customHeight="1" x14ac:dyDescent="0.15">
      <c r="A8" s="54" t="s">
        <v>136</v>
      </c>
      <c r="B8" s="56" t="str">
        <f>$B$3</f>
        <v/>
      </c>
      <c r="C8" s="56" t="s">
        <v>135</v>
      </c>
      <c r="D8" s="51" t="str">
        <f>$D$3</f>
        <v/>
      </c>
      <c r="E8" s="53"/>
      <c r="F8" s="54" t="s">
        <v>136</v>
      </c>
      <c r="G8" s="56" t="str">
        <f>$B$3</f>
        <v/>
      </c>
      <c r="H8" s="56" t="s">
        <v>135</v>
      </c>
      <c r="I8" s="51" t="str">
        <f>$D$3</f>
        <v/>
      </c>
      <c r="L8" s="64" t="s">
        <v>155</v>
      </c>
      <c r="M8" s="65">
        <v>500</v>
      </c>
      <c r="N8" s="65" t="s">
        <v>156</v>
      </c>
      <c r="O8" s="66" t="s">
        <v>157</v>
      </c>
    </row>
    <row r="9" spans="1:15" ht="25.7" customHeight="1" x14ac:dyDescent="0.15">
      <c r="A9" s="54" t="s">
        <v>134</v>
      </c>
      <c r="B9" s="56" t="str">
        <f>$B$4</f>
        <v>000000-00-00-00</v>
      </c>
      <c r="C9" s="56" t="s">
        <v>133</v>
      </c>
      <c r="D9" s="71">
        <f ca="1">$D$4</f>
        <v>44314</v>
      </c>
      <c r="E9" s="53"/>
      <c r="F9" s="54" t="s">
        <v>134</v>
      </c>
      <c r="G9" s="56" t="str">
        <f>$B$4</f>
        <v>000000-00-00-00</v>
      </c>
      <c r="H9" s="56" t="s">
        <v>133</v>
      </c>
      <c r="I9" s="71">
        <f ca="1">$D$4</f>
        <v>44314</v>
      </c>
      <c r="L9" s="64" t="s">
        <v>162</v>
      </c>
      <c r="M9" s="65">
        <v>1500</v>
      </c>
      <c r="N9" s="65" t="s">
        <v>163</v>
      </c>
      <c r="O9" s="66" t="s">
        <v>164</v>
      </c>
    </row>
    <row r="10" spans="1:15" ht="25.7" customHeight="1" thickBot="1" x14ac:dyDescent="0.2">
      <c r="A10" s="58" t="s">
        <v>132</v>
      </c>
      <c r="B10" s="56" t="str">
        <f>$B$5</f>
        <v/>
      </c>
      <c r="C10" s="59" t="s">
        <v>131</v>
      </c>
      <c r="D10" s="60" t="s">
        <v>130</v>
      </c>
      <c r="E10" s="53"/>
      <c r="F10" s="58" t="s">
        <v>132</v>
      </c>
      <c r="G10" s="56" t="str">
        <f>$B$5</f>
        <v/>
      </c>
      <c r="H10" s="59" t="s">
        <v>131</v>
      </c>
      <c r="I10" s="60" t="s">
        <v>130</v>
      </c>
      <c r="L10" s="64" t="s">
        <v>165</v>
      </c>
      <c r="M10" s="65">
        <v>1500</v>
      </c>
      <c r="N10" s="65" t="s">
        <v>163</v>
      </c>
      <c r="O10" s="66" t="s">
        <v>164</v>
      </c>
    </row>
    <row r="11" spans="1:15" ht="25.7" customHeight="1" x14ac:dyDescent="0.15">
      <c r="A11" s="617" t="s">
        <v>139</v>
      </c>
      <c r="B11" s="618"/>
      <c r="C11" s="618"/>
      <c r="D11" s="619"/>
      <c r="E11" s="53"/>
      <c r="F11" s="617" t="s">
        <v>139</v>
      </c>
      <c r="G11" s="618"/>
      <c r="H11" s="618"/>
      <c r="I11" s="619"/>
      <c r="L11" s="64" t="s">
        <v>166</v>
      </c>
      <c r="M11" s="65">
        <v>1500</v>
      </c>
      <c r="N11" s="65" t="s">
        <v>167</v>
      </c>
      <c r="O11" s="66" t="s">
        <v>157</v>
      </c>
    </row>
    <row r="12" spans="1:15" ht="25.7" customHeight="1" x14ac:dyDescent="0.15">
      <c r="A12" s="54" t="s">
        <v>138</v>
      </c>
      <c r="B12" s="56" t="str">
        <f>$B$2</f>
        <v>D-ENG[복열-VE사양]</v>
      </c>
      <c r="C12" s="56" t="s">
        <v>137</v>
      </c>
      <c r="D12" s="51" t="str">
        <f>$D$2</f>
        <v>OUTTER RING</v>
      </c>
      <c r="E12" s="53"/>
      <c r="F12" s="54" t="s">
        <v>138</v>
      </c>
      <c r="G12" s="56" t="str">
        <f>$B$2</f>
        <v>D-ENG[복열-VE사양]</v>
      </c>
      <c r="H12" s="56" t="s">
        <v>137</v>
      </c>
      <c r="I12" s="51" t="str">
        <f>$D$2</f>
        <v>OUTTER RING</v>
      </c>
      <c r="L12" s="64" t="s">
        <v>269</v>
      </c>
      <c r="M12" s="65">
        <v>1500</v>
      </c>
      <c r="N12" s="65" t="s">
        <v>167</v>
      </c>
      <c r="O12" s="66" t="s">
        <v>157</v>
      </c>
    </row>
    <row r="13" spans="1:15" ht="25.7" customHeight="1" thickBot="1" x14ac:dyDescent="0.2">
      <c r="A13" s="54" t="s">
        <v>136</v>
      </c>
      <c r="B13" s="56" t="str">
        <f>$B$3</f>
        <v/>
      </c>
      <c r="C13" s="56" t="s">
        <v>135</v>
      </c>
      <c r="D13" s="51" t="str">
        <f>$D$3</f>
        <v/>
      </c>
      <c r="E13" s="53"/>
      <c r="F13" s="54" t="s">
        <v>136</v>
      </c>
      <c r="G13" s="56" t="str">
        <f>$B$3</f>
        <v/>
      </c>
      <c r="H13" s="56" t="s">
        <v>135</v>
      </c>
      <c r="I13" s="51" t="str">
        <f>$D$3</f>
        <v/>
      </c>
      <c r="L13" s="67" t="s">
        <v>168</v>
      </c>
      <c r="M13" s="68">
        <v>200</v>
      </c>
      <c r="N13" s="68" t="s">
        <v>169</v>
      </c>
      <c r="O13" s="69" t="s">
        <v>170</v>
      </c>
    </row>
    <row r="14" spans="1:15" ht="25.7" customHeight="1" x14ac:dyDescent="0.15">
      <c r="A14" s="54" t="s">
        <v>134</v>
      </c>
      <c r="B14" s="56" t="str">
        <f>$B$4</f>
        <v>000000-00-00-00</v>
      </c>
      <c r="C14" s="56" t="s">
        <v>133</v>
      </c>
      <c r="D14" s="71">
        <f ca="1">$D$4</f>
        <v>44314</v>
      </c>
      <c r="E14" s="53"/>
      <c r="F14" s="54" t="s">
        <v>134</v>
      </c>
      <c r="G14" s="56" t="str">
        <f>$B$4</f>
        <v>000000-00-00-00</v>
      </c>
      <c r="H14" s="56" t="s">
        <v>133</v>
      </c>
      <c r="I14" s="71">
        <f ca="1">$D$4</f>
        <v>44314</v>
      </c>
    </row>
    <row r="15" spans="1:15" ht="25.7" customHeight="1" thickBot="1" x14ac:dyDescent="0.2">
      <c r="A15" s="58" t="s">
        <v>132</v>
      </c>
      <c r="B15" s="56" t="str">
        <f>$B$5</f>
        <v/>
      </c>
      <c r="C15" s="59" t="s">
        <v>131</v>
      </c>
      <c r="D15" s="60" t="s">
        <v>130</v>
      </c>
      <c r="E15" s="53"/>
      <c r="F15" s="58" t="s">
        <v>132</v>
      </c>
      <c r="G15" s="56" t="str">
        <f>$B$5</f>
        <v/>
      </c>
      <c r="H15" s="59" t="s">
        <v>131</v>
      </c>
      <c r="I15" s="60" t="s">
        <v>130</v>
      </c>
    </row>
    <row r="16" spans="1:15" ht="25.7" customHeight="1" x14ac:dyDescent="0.15">
      <c r="A16" s="617" t="s">
        <v>139</v>
      </c>
      <c r="B16" s="618"/>
      <c r="C16" s="618"/>
      <c r="D16" s="619"/>
      <c r="E16" s="53"/>
      <c r="F16" s="617" t="s">
        <v>139</v>
      </c>
      <c r="G16" s="618"/>
      <c r="H16" s="618"/>
      <c r="I16" s="619"/>
    </row>
    <row r="17" spans="1:9" ht="25.7" customHeight="1" x14ac:dyDescent="0.15">
      <c r="A17" s="54" t="s">
        <v>138</v>
      </c>
      <c r="B17" s="56" t="str">
        <f>$B$2</f>
        <v>D-ENG[복열-VE사양]</v>
      </c>
      <c r="C17" s="56" t="s">
        <v>137</v>
      </c>
      <c r="D17" s="51" t="str">
        <f>$D$2</f>
        <v>OUTTER RING</v>
      </c>
      <c r="E17" s="53"/>
      <c r="F17" s="54" t="s">
        <v>138</v>
      </c>
      <c r="G17" s="56" t="str">
        <f>$B$2</f>
        <v>D-ENG[복열-VE사양]</v>
      </c>
      <c r="H17" s="56" t="s">
        <v>137</v>
      </c>
      <c r="I17" s="51" t="str">
        <f>$D$2</f>
        <v>OUTTER RING</v>
      </c>
    </row>
    <row r="18" spans="1:9" ht="25.7" customHeight="1" x14ac:dyDescent="0.15">
      <c r="A18" s="54" t="s">
        <v>136</v>
      </c>
      <c r="B18" s="56" t="str">
        <f>$B$3</f>
        <v/>
      </c>
      <c r="C18" s="56" t="s">
        <v>135</v>
      </c>
      <c r="D18" s="51" t="str">
        <f>$D$3</f>
        <v/>
      </c>
      <c r="E18" s="53"/>
      <c r="F18" s="54" t="s">
        <v>136</v>
      </c>
      <c r="G18" s="56" t="str">
        <f>$B$3</f>
        <v/>
      </c>
      <c r="H18" s="56" t="s">
        <v>135</v>
      </c>
      <c r="I18" s="51" t="str">
        <f>$D$3</f>
        <v/>
      </c>
    </row>
    <row r="19" spans="1:9" ht="24.75" customHeight="1" x14ac:dyDescent="0.15">
      <c r="A19" s="54" t="s">
        <v>134</v>
      </c>
      <c r="B19" s="56" t="str">
        <f>$B$4</f>
        <v>000000-00-00-00</v>
      </c>
      <c r="C19" s="56" t="s">
        <v>133</v>
      </c>
      <c r="D19" s="71">
        <f ca="1">$D$4</f>
        <v>44314</v>
      </c>
      <c r="E19" s="53"/>
      <c r="F19" s="54" t="s">
        <v>134</v>
      </c>
      <c r="G19" s="56" t="str">
        <f>$B$4</f>
        <v>000000-00-00-00</v>
      </c>
      <c r="H19" s="56" t="s">
        <v>133</v>
      </c>
      <c r="I19" s="71">
        <f ca="1">$D$4</f>
        <v>44314</v>
      </c>
    </row>
    <row r="20" spans="1:9" ht="25.7" customHeight="1" thickBot="1" x14ac:dyDescent="0.2">
      <c r="A20" s="58" t="s">
        <v>132</v>
      </c>
      <c r="B20" s="56" t="str">
        <f>$B$5</f>
        <v/>
      </c>
      <c r="C20" s="59" t="s">
        <v>131</v>
      </c>
      <c r="D20" s="60" t="s">
        <v>130</v>
      </c>
      <c r="E20" s="53"/>
      <c r="F20" s="58" t="s">
        <v>132</v>
      </c>
      <c r="G20" s="56" t="str">
        <f>$B$5</f>
        <v/>
      </c>
      <c r="H20" s="59" t="s">
        <v>131</v>
      </c>
      <c r="I20" s="60" t="s">
        <v>130</v>
      </c>
    </row>
    <row r="21" spans="1:9" ht="25.7" customHeight="1" x14ac:dyDescent="0.15">
      <c r="A21" s="617" t="s">
        <v>139</v>
      </c>
      <c r="B21" s="618"/>
      <c r="C21" s="618"/>
      <c r="D21" s="619"/>
      <c r="E21" s="53"/>
      <c r="F21" s="617" t="s">
        <v>139</v>
      </c>
      <c r="G21" s="618"/>
      <c r="H21" s="618"/>
      <c r="I21" s="619"/>
    </row>
    <row r="22" spans="1:9" ht="25.7" customHeight="1" x14ac:dyDescent="0.15">
      <c r="A22" s="54" t="s">
        <v>138</v>
      </c>
      <c r="B22" s="56" t="str">
        <f>$B$2</f>
        <v>D-ENG[복열-VE사양]</v>
      </c>
      <c r="C22" s="56" t="s">
        <v>137</v>
      </c>
      <c r="D22" s="51" t="str">
        <f>$D$2</f>
        <v>OUTTER RING</v>
      </c>
      <c r="E22" s="53"/>
      <c r="F22" s="54" t="s">
        <v>138</v>
      </c>
      <c r="G22" s="56" t="str">
        <f>$B$2</f>
        <v>D-ENG[복열-VE사양]</v>
      </c>
      <c r="H22" s="56" t="s">
        <v>137</v>
      </c>
      <c r="I22" s="51" t="str">
        <f>$D$2</f>
        <v>OUTTER RING</v>
      </c>
    </row>
    <row r="23" spans="1:9" ht="25.7" customHeight="1" x14ac:dyDescent="0.15">
      <c r="A23" s="54" t="s">
        <v>136</v>
      </c>
      <c r="B23" s="56" t="str">
        <f>$B$3</f>
        <v/>
      </c>
      <c r="C23" s="56" t="s">
        <v>135</v>
      </c>
      <c r="D23" s="51" t="str">
        <f>$D$3</f>
        <v/>
      </c>
      <c r="E23" s="53"/>
      <c r="F23" s="54" t="s">
        <v>136</v>
      </c>
      <c r="G23" s="56" t="str">
        <f>$B$3</f>
        <v/>
      </c>
      <c r="H23" s="56" t="s">
        <v>135</v>
      </c>
      <c r="I23" s="51" t="str">
        <f>$D$3</f>
        <v/>
      </c>
    </row>
    <row r="24" spans="1:9" ht="25.7" customHeight="1" x14ac:dyDescent="0.15">
      <c r="A24" s="54" t="s">
        <v>134</v>
      </c>
      <c r="B24" s="56" t="str">
        <f>$B$4</f>
        <v>000000-00-00-00</v>
      </c>
      <c r="C24" s="56" t="s">
        <v>133</v>
      </c>
      <c r="D24" s="71">
        <f ca="1">$D$4</f>
        <v>44314</v>
      </c>
      <c r="E24" s="53"/>
      <c r="F24" s="54" t="s">
        <v>134</v>
      </c>
      <c r="G24" s="56" t="str">
        <f>$B$4</f>
        <v>000000-00-00-00</v>
      </c>
      <c r="H24" s="56" t="s">
        <v>133</v>
      </c>
      <c r="I24" s="71">
        <f ca="1">$D$4</f>
        <v>44314</v>
      </c>
    </row>
    <row r="25" spans="1:9" ht="25.7" customHeight="1" thickBot="1" x14ac:dyDescent="0.2">
      <c r="A25" s="58" t="s">
        <v>132</v>
      </c>
      <c r="B25" s="56" t="str">
        <f>$B$5</f>
        <v/>
      </c>
      <c r="C25" s="59" t="s">
        <v>131</v>
      </c>
      <c r="D25" s="60" t="s">
        <v>130</v>
      </c>
      <c r="E25" s="53"/>
      <c r="F25" s="58" t="s">
        <v>132</v>
      </c>
      <c r="G25" s="56" t="str">
        <f>$B$5</f>
        <v/>
      </c>
      <c r="H25" s="59" t="s">
        <v>131</v>
      </c>
      <c r="I25" s="60" t="s">
        <v>130</v>
      </c>
    </row>
    <row r="26" spans="1:9" ht="25.7" customHeight="1" x14ac:dyDescent="0.15">
      <c r="A26" s="617" t="s">
        <v>139</v>
      </c>
      <c r="B26" s="618"/>
      <c r="C26" s="618"/>
      <c r="D26" s="619"/>
      <c r="E26" s="53"/>
      <c r="F26" s="617" t="s">
        <v>139</v>
      </c>
      <c r="G26" s="618"/>
      <c r="H26" s="618"/>
      <c r="I26" s="619"/>
    </row>
    <row r="27" spans="1:9" ht="25.7" customHeight="1" x14ac:dyDescent="0.15">
      <c r="A27" s="54" t="s">
        <v>138</v>
      </c>
      <c r="B27" s="56" t="str">
        <f>$B$2</f>
        <v>D-ENG[복열-VE사양]</v>
      </c>
      <c r="C27" s="56" t="s">
        <v>137</v>
      </c>
      <c r="D27" s="51" t="str">
        <f>$D$2</f>
        <v>OUTTER RING</v>
      </c>
      <c r="E27" s="53"/>
      <c r="F27" s="54" t="s">
        <v>138</v>
      </c>
      <c r="G27" s="56" t="str">
        <f>$B$2</f>
        <v>D-ENG[복열-VE사양]</v>
      </c>
      <c r="H27" s="56" t="s">
        <v>137</v>
      </c>
      <c r="I27" s="51" t="str">
        <f>$D$2</f>
        <v>OUTTER RING</v>
      </c>
    </row>
    <row r="28" spans="1:9" ht="25.7" customHeight="1" x14ac:dyDescent="0.15">
      <c r="A28" s="54" t="s">
        <v>136</v>
      </c>
      <c r="B28" s="56" t="str">
        <f>$B$3</f>
        <v/>
      </c>
      <c r="C28" s="56" t="s">
        <v>135</v>
      </c>
      <c r="D28" s="51" t="str">
        <f>$D$3</f>
        <v/>
      </c>
      <c r="E28" s="53"/>
      <c r="F28" s="54" t="s">
        <v>136</v>
      </c>
      <c r="G28" s="56" t="str">
        <f>$B$3</f>
        <v/>
      </c>
      <c r="H28" s="56" t="s">
        <v>135</v>
      </c>
      <c r="I28" s="51" t="str">
        <f>$D$3</f>
        <v/>
      </c>
    </row>
    <row r="29" spans="1:9" ht="25.7" customHeight="1" x14ac:dyDescent="0.15">
      <c r="A29" s="54" t="s">
        <v>134</v>
      </c>
      <c r="B29" s="56" t="str">
        <f>$B$4</f>
        <v>000000-00-00-00</v>
      </c>
      <c r="C29" s="56" t="s">
        <v>133</v>
      </c>
      <c r="D29" s="71">
        <f ca="1">$D$4</f>
        <v>44314</v>
      </c>
      <c r="E29" s="53"/>
      <c r="F29" s="54" t="s">
        <v>134</v>
      </c>
      <c r="G29" s="56" t="str">
        <f>$B$4</f>
        <v>000000-00-00-00</v>
      </c>
      <c r="H29" s="56" t="s">
        <v>133</v>
      </c>
      <c r="I29" s="71">
        <f ca="1">$D$4</f>
        <v>44314</v>
      </c>
    </row>
    <row r="30" spans="1:9" ht="25.7" customHeight="1" thickBot="1" x14ac:dyDescent="0.2">
      <c r="A30" s="58" t="s">
        <v>132</v>
      </c>
      <c r="B30" s="56" t="str">
        <f>$B$5</f>
        <v/>
      </c>
      <c r="C30" s="59" t="s">
        <v>131</v>
      </c>
      <c r="D30" s="60" t="s">
        <v>130</v>
      </c>
      <c r="E30" s="53"/>
      <c r="F30" s="58" t="s">
        <v>132</v>
      </c>
      <c r="G30" s="56" t="str">
        <f>$B$5</f>
        <v/>
      </c>
      <c r="H30" s="59" t="s">
        <v>131</v>
      </c>
      <c r="I30" s="60" t="s">
        <v>130</v>
      </c>
    </row>
  </sheetData>
  <mergeCells count="12">
    <mergeCell ref="A16:D16"/>
    <mergeCell ref="F16:I16"/>
    <mergeCell ref="A21:D21"/>
    <mergeCell ref="F21:I21"/>
    <mergeCell ref="A26:D26"/>
    <mergeCell ref="F26:I26"/>
    <mergeCell ref="A1:D1"/>
    <mergeCell ref="F1:I1"/>
    <mergeCell ref="A6:D6"/>
    <mergeCell ref="F6:I6"/>
    <mergeCell ref="A11:D11"/>
    <mergeCell ref="F11:I11"/>
  </mergeCells>
  <phoneticPr fontId="3" type="noConversion"/>
  <printOptions horizontalCentered="1"/>
  <pageMargins left="0.27559055118110237" right="0.27559055118110237" top="0.78740157480314965" bottom="0.78740157480314965" header="0" footer="0"/>
  <pageSetup paperSize="9" scale="94" orientation="portrait" horizont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AA56"/>
  <sheetViews>
    <sheetView showGridLines="0" showZeros="0" view="pageBreakPreview" zoomScale="85" zoomScaleNormal="100" zoomScaleSheetLayoutView="85" workbookViewId="0">
      <selection activeCell="Z11" sqref="Z11"/>
    </sheetView>
  </sheetViews>
  <sheetFormatPr defaultRowHeight="13.5" x14ac:dyDescent="0.15"/>
  <cols>
    <col min="1" max="13" width="3.6640625" style="29" customWidth="1"/>
    <col min="14" max="15" width="3.77734375" style="29" customWidth="1"/>
    <col min="16" max="20" width="3.6640625" style="29" customWidth="1"/>
    <col min="21" max="23" width="3.6640625" customWidth="1"/>
  </cols>
  <sheetData>
    <row r="1" spans="1:27" ht="20.100000000000001" customHeight="1" x14ac:dyDescent="0.15">
      <c r="A1" s="428" t="s">
        <v>55</v>
      </c>
      <c r="B1" s="413"/>
      <c r="C1" s="413"/>
      <c r="D1" s="413"/>
      <c r="E1" s="413"/>
      <c r="F1" s="413"/>
      <c r="G1" s="413"/>
      <c r="H1" s="413"/>
      <c r="I1" s="663" t="s">
        <v>196</v>
      </c>
      <c r="J1" s="664"/>
      <c r="K1" s="665" t="s">
        <v>195</v>
      </c>
      <c r="L1" s="665"/>
      <c r="M1" s="666"/>
      <c r="N1" s="409" t="s">
        <v>7</v>
      </c>
      <c r="O1" s="410"/>
      <c r="P1" s="413" t="str">
        <f>sheet1!P1</f>
        <v>000000-00-00-00</v>
      </c>
      <c r="Q1" s="413"/>
      <c r="R1" s="413"/>
      <c r="S1" s="413"/>
      <c r="T1" s="413"/>
      <c r="U1" s="413"/>
      <c r="V1" s="413"/>
      <c r="W1" s="414"/>
    </row>
    <row r="2" spans="1:27" ht="20.100000000000001" customHeight="1" x14ac:dyDescent="0.15">
      <c r="A2" s="429"/>
      <c r="B2" s="415"/>
      <c r="C2" s="415"/>
      <c r="D2" s="415"/>
      <c r="E2" s="415"/>
      <c r="F2" s="415"/>
      <c r="G2" s="415"/>
      <c r="H2" s="415"/>
      <c r="I2" s="667" t="s">
        <v>219</v>
      </c>
      <c r="J2" s="668"/>
      <c r="K2" s="669">
        <f ca="1">TODAY()</f>
        <v>44313</v>
      </c>
      <c r="L2" s="670"/>
      <c r="M2" s="671"/>
      <c r="N2" s="524"/>
      <c r="O2" s="525"/>
      <c r="P2" s="526"/>
      <c r="Q2" s="526"/>
      <c r="R2" s="526"/>
      <c r="S2" s="526"/>
      <c r="T2" s="526"/>
      <c r="U2" s="526"/>
      <c r="V2" s="526"/>
      <c r="W2" s="527"/>
    </row>
    <row r="3" spans="1:27" s="1" customFormat="1" ht="15" customHeight="1" x14ac:dyDescent="0.15">
      <c r="A3" s="440" t="s">
        <v>0</v>
      </c>
      <c r="B3" s="441"/>
      <c r="C3" s="441"/>
      <c r="D3" s="425" t="str">
        <f>sheet1!D3</f>
        <v>지엠비코리아㈜</v>
      </c>
      <c r="E3" s="426"/>
      <c r="F3" s="426"/>
      <c r="G3" s="426"/>
      <c r="H3" s="426"/>
      <c r="I3" s="426"/>
      <c r="J3" s="426"/>
      <c r="K3" s="528"/>
      <c r="L3" s="528"/>
      <c r="M3" s="529"/>
      <c r="N3" s="423" t="s">
        <v>1</v>
      </c>
      <c r="O3" s="423"/>
      <c r="P3" s="530" t="s">
        <v>187</v>
      </c>
      <c r="Q3" s="531"/>
      <c r="R3" s="531"/>
      <c r="S3" s="532" t="s">
        <v>188</v>
      </c>
      <c r="T3" s="533"/>
      <c r="U3" s="533"/>
      <c r="V3" s="533"/>
      <c r="W3" s="534"/>
    </row>
    <row r="4" spans="1:27" s="1" customFormat="1" ht="24.95" customHeight="1" x14ac:dyDescent="0.15">
      <c r="A4" s="422" t="s">
        <v>2</v>
      </c>
      <c r="B4" s="423"/>
      <c r="C4" s="424" t="str">
        <f>sheet1!C4</f>
        <v>OUTTER RING</v>
      </c>
      <c r="D4" s="424"/>
      <c r="E4" s="424"/>
      <c r="F4" s="424"/>
      <c r="G4" s="424"/>
      <c r="H4" s="423" t="s">
        <v>3</v>
      </c>
      <c r="I4" s="423"/>
      <c r="J4" s="423" t="str">
        <f>sheet1!J4</f>
        <v>SUJ2</v>
      </c>
      <c r="K4" s="423"/>
      <c r="L4" s="423"/>
      <c r="M4" s="423"/>
      <c r="N4" s="447" t="s">
        <v>4</v>
      </c>
      <c r="O4" s="195"/>
      <c r="P4" s="454">
        <f>sheet1!P4</f>
        <v>0</v>
      </c>
      <c r="Q4" s="450"/>
      <c r="R4" s="450"/>
      <c r="S4" s="450"/>
      <c r="T4" s="450"/>
      <c r="U4" s="450"/>
      <c r="V4" s="450"/>
      <c r="W4" s="451"/>
      <c r="Y4" s="1" t="s">
        <v>72</v>
      </c>
      <c r="Z4" s="1" t="s">
        <v>73</v>
      </c>
      <c r="AA4" s="1" t="s">
        <v>74</v>
      </c>
    </row>
    <row r="5" spans="1:27" s="1" customFormat="1" ht="24.95" customHeight="1" thickBot="1" x14ac:dyDescent="0.2">
      <c r="A5" s="417" t="s">
        <v>5</v>
      </c>
      <c r="B5" s="418"/>
      <c r="C5" s="419" t="str">
        <f>sheet1!C5</f>
        <v>D-ENG[복열-VE사양]</v>
      </c>
      <c r="D5" s="419"/>
      <c r="E5" s="419"/>
      <c r="F5" s="419"/>
      <c r="G5" s="419"/>
      <c r="H5" s="420" t="s">
        <v>6</v>
      </c>
      <c r="I5" s="420"/>
      <c r="J5" s="421" t="s">
        <v>186</v>
      </c>
      <c r="K5" s="421"/>
      <c r="L5" s="421"/>
      <c r="M5" s="421"/>
      <c r="N5" s="448"/>
      <c r="O5" s="449"/>
      <c r="P5" s="455"/>
      <c r="Q5" s="452"/>
      <c r="R5" s="452"/>
      <c r="S5" s="452"/>
      <c r="T5" s="452"/>
      <c r="U5" s="452"/>
      <c r="V5" s="452"/>
      <c r="W5" s="453"/>
      <c r="Z5" s="1" t="str">
        <f>MID(Y5,9,1)</f>
        <v/>
      </c>
      <c r="AA5" s="1" t="e">
        <f>Z5*1</f>
        <v>#VALUE!</v>
      </c>
    </row>
    <row r="6" spans="1:27" s="1" customFormat="1" ht="16.5" customHeight="1" thickBot="1" x14ac:dyDescent="0.2">
      <c r="A6" s="651" t="s">
        <v>88</v>
      </c>
      <c r="B6" s="652"/>
      <c r="C6" s="652"/>
      <c r="D6" s="652"/>
      <c r="E6" s="652"/>
      <c r="F6" s="652"/>
      <c r="G6" s="652"/>
      <c r="H6" s="652"/>
      <c r="I6" s="652"/>
      <c r="J6" s="652"/>
      <c r="K6" s="652"/>
      <c r="L6" s="652"/>
      <c r="M6" s="652"/>
      <c r="N6" s="652"/>
      <c r="O6" s="652"/>
      <c r="P6" s="652"/>
      <c r="Q6" s="652"/>
      <c r="R6" s="653"/>
      <c r="S6" s="654" t="s">
        <v>9</v>
      </c>
      <c r="T6" s="655"/>
      <c r="U6" s="656" t="str">
        <f>sheet1!S6</f>
        <v>표준수량</v>
      </c>
      <c r="V6" s="171"/>
      <c r="W6" s="657"/>
    </row>
    <row r="7" spans="1:27" s="1" customFormat="1" ht="16.5" customHeight="1" x14ac:dyDescent="0.15">
      <c r="A7" s="247" t="s">
        <v>80</v>
      </c>
      <c r="B7" s="211" t="s">
        <v>189</v>
      </c>
      <c r="C7" s="249"/>
      <c r="D7" s="209" t="s">
        <v>82</v>
      </c>
      <c r="E7" s="211" t="s">
        <v>186</v>
      </c>
      <c r="F7" s="251"/>
      <c r="G7" s="253" t="s">
        <v>84</v>
      </c>
      <c r="H7" s="211"/>
      <c r="I7" s="249"/>
      <c r="J7" s="209" t="s">
        <v>86</v>
      </c>
      <c r="K7" s="211"/>
      <c r="L7" s="251"/>
      <c r="M7" s="253" t="s">
        <v>79</v>
      </c>
      <c r="N7" s="211"/>
      <c r="O7" s="249"/>
      <c r="P7" s="209" t="s">
        <v>125</v>
      </c>
      <c r="Q7" s="211"/>
      <c r="R7" s="212"/>
      <c r="S7" s="194" t="s">
        <v>178</v>
      </c>
      <c r="T7" s="195"/>
      <c r="U7" s="196">
        <f>sheet1!U7</f>
        <v>0</v>
      </c>
      <c r="V7" s="197"/>
      <c r="W7" s="198"/>
    </row>
    <row r="8" spans="1:27" s="1" customFormat="1" ht="16.5" customHeight="1" x14ac:dyDescent="0.15">
      <c r="A8" s="248"/>
      <c r="B8" s="213"/>
      <c r="C8" s="250"/>
      <c r="D8" s="210"/>
      <c r="E8" s="213"/>
      <c r="F8" s="252"/>
      <c r="G8" s="254"/>
      <c r="H8" s="213"/>
      <c r="I8" s="250"/>
      <c r="J8" s="210"/>
      <c r="K8" s="213"/>
      <c r="L8" s="252"/>
      <c r="M8" s="254"/>
      <c r="N8" s="213"/>
      <c r="O8" s="250"/>
      <c r="P8" s="210"/>
      <c r="Q8" s="213"/>
      <c r="R8" s="214"/>
      <c r="S8" s="199" t="s">
        <v>179</v>
      </c>
      <c r="T8" s="200"/>
      <c r="U8" s="203">
        <f>sheet1!U8</f>
        <v>0</v>
      </c>
      <c r="V8" s="204"/>
      <c r="W8" s="205"/>
    </row>
    <row r="9" spans="1:27" s="1" customFormat="1" ht="16.5" customHeight="1" thickBot="1" x14ac:dyDescent="0.2">
      <c r="A9" s="229" t="s">
        <v>10</v>
      </c>
      <c r="B9" s="230"/>
      <c r="C9" s="230"/>
      <c r="D9" s="649" t="s">
        <v>10</v>
      </c>
      <c r="E9" s="230"/>
      <c r="F9" s="650"/>
      <c r="G9" s="230" t="s">
        <v>10</v>
      </c>
      <c r="H9" s="230"/>
      <c r="I9" s="230"/>
      <c r="J9" s="649" t="s">
        <v>10</v>
      </c>
      <c r="K9" s="230"/>
      <c r="L9" s="650"/>
      <c r="M9" s="230" t="s">
        <v>10</v>
      </c>
      <c r="N9" s="230"/>
      <c r="O9" s="230"/>
      <c r="P9" s="649" t="s">
        <v>10</v>
      </c>
      <c r="Q9" s="230"/>
      <c r="R9" s="662"/>
      <c r="S9" s="658"/>
      <c r="T9" s="238"/>
      <c r="U9" s="659"/>
      <c r="V9" s="660"/>
      <c r="W9" s="661"/>
    </row>
    <row r="10" spans="1:27" s="2" customFormat="1" ht="15" customHeight="1" x14ac:dyDescent="0.15">
      <c r="A10" s="386" t="s">
        <v>11</v>
      </c>
      <c r="B10" s="387"/>
      <c r="C10" s="387"/>
      <c r="D10" s="388" t="str">
        <f>sheet1!D10</f>
        <v>DS10-H-01</v>
      </c>
      <c r="E10" s="388"/>
      <c r="F10" s="242" t="s">
        <v>216</v>
      </c>
      <c r="G10" s="243"/>
      <c r="H10" s="245" t="s">
        <v>180</v>
      </c>
      <c r="I10" s="246"/>
      <c r="J10" s="72"/>
      <c r="K10" s="239" t="s">
        <v>217</v>
      </c>
      <c r="L10" s="240"/>
      <c r="M10" s="240"/>
      <c r="N10" s="178" t="s">
        <v>215</v>
      </c>
      <c r="O10" s="179"/>
      <c r="P10" s="179"/>
      <c r="Q10" s="180"/>
      <c r="R10" s="184" t="s">
        <v>192</v>
      </c>
      <c r="S10" s="185"/>
      <c r="T10" s="185"/>
      <c r="U10" s="185"/>
      <c r="V10" s="185"/>
      <c r="W10" s="186"/>
    </row>
    <row r="11" spans="1:27" s="2" customFormat="1" ht="24" customHeight="1" thickBot="1" x14ac:dyDescent="0.2">
      <c r="A11" s="235" t="s">
        <v>218</v>
      </c>
      <c r="B11" s="236"/>
      <c r="C11" s="236"/>
      <c r="D11" s="236"/>
      <c r="E11" s="231"/>
      <c r="F11" s="244"/>
      <c r="G11" s="244"/>
      <c r="H11" s="237"/>
      <c r="I11" s="220"/>
      <c r="J11" s="238"/>
      <c r="K11" s="241"/>
      <c r="L11" s="241"/>
      <c r="M11" s="241"/>
      <c r="N11" s="181"/>
      <c r="O11" s="182"/>
      <c r="P11" s="182"/>
      <c r="Q11" s="183"/>
      <c r="R11" s="187" t="s">
        <v>193</v>
      </c>
      <c r="S11" s="188"/>
      <c r="T11" s="188"/>
      <c r="U11" s="188" t="s">
        <v>194</v>
      </c>
      <c r="V11" s="188"/>
      <c r="W11" s="189"/>
    </row>
    <row r="12" spans="1:27" s="2" customFormat="1" ht="30" customHeight="1" thickBot="1" x14ac:dyDescent="0.2">
      <c r="A12" s="672" t="s">
        <v>1</v>
      </c>
      <c r="B12" s="673"/>
      <c r="C12" s="674" t="s">
        <v>28</v>
      </c>
      <c r="D12" s="675"/>
      <c r="E12" s="676"/>
      <c r="F12" s="104"/>
      <c r="G12" s="73"/>
      <c r="H12" s="73"/>
      <c r="I12" s="73"/>
      <c r="J12" s="73"/>
      <c r="K12" s="387"/>
      <c r="L12" s="387"/>
      <c r="M12" s="387"/>
      <c r="N12" s="73"/>
      <c r="O12" s="73"/>
      <c r="P12" s="73"/>
      <c r="Q12" s="5"/>
      <c r="R12" s="5"/>
      <c r="S12" s="100"/>
      <c r="T12" s="96"/>
      <c r="U12" s="96"/>
      <c r="V12" s="96"/>
      <c r="W12" s="97"/>
    </row>
    <row r="13" spans="1:27" s="2" customFormat="1" ht="30" customHeight="1" thickBot="1" x14ac:dyDescent="0.2">
      <c r="A13" s="677" t="s">
        <v>31</v>
      </c>
      <c r="B13" s="678"/>
      <c r="C13" s="679"/>
      <c r="D13" s="680"/>
      <c r="E13" s="681"/>
      <c r="F13" s="7"/>
      <c r="G13" s="682"/>
      <c r="H13" s="683"/>
      <c r="I13" s="684"/>
      <c r="J13" s="5"/>
      <c r="K13" s="628"/>
      <c r="L13" s="628"/>
      <c r="M13" s="628"/>
      <c r="N13" s="5"/>
      <c r="O13" s="5"/>
      <c r="P13" s="101"/>
      <c r="Q13" s="102"/>
      <c r="R13" s="103"/>
      <c r="S13" s="98"/>
      <c r="T13" s="98"/>
      <c r="U13" s="98"/>
      <c r="V13" s="98"/>
      <c r="W13" s="99"/>
    </row>
    <row r="14" spans="1:27" s="2" customFormat="1" ht="15" customHeight="1" x14ac:dyDescent="0.15">
      <c r="A14" s="91"/>
      <c r="B14" s="95"/>
      <c r="C14" s="95"/>
      <c r="D14" s="92"/>
      <c r="E14" s="95"/>
      <c r="F14" s="5"/>
      <c r="G14" s="622" t="s">
        <v>246</v>
      </c>
      <c r="H14" s="623"/>
      <c r="I14" s="623"/>
      <c r="J14" s="623"/>
      <c r="K14" s="623"/>
      <c r="L14" s="623"/>
      <c r="M14" s="623"/>
      <c r="N14" s="623"/>
      <c r="O14" s="624"/>
      <c r="P14" s="93"/>
      <c r="Q14" s="92"/>
      <c r="R14" s="92"/>
      <c r="S14" s="98"/>
      <c r="T14" s="98"/>
      <c r="U14" s="98"/>
      <c r="V14" s="98"/>
      <c r="W14" s="99"/>
    </row>
    <row r="15" spans="1:27" s="2" customFormat="1" ht="20.100000000000001" customHeight="1" thickBot="1" x14ac:dyDescent="0.2">
      <c r="A15" s="91"/>
      <c r="B15" s="95"/>
      <c r="C15" s="95"/>
      <c r="D15" s="92"/>
      <c r="E15" s="95"/>
      <c r="F15" s="94"/>
      <c r="G15" s="625"/>
      <c r="H15" s="626"/>
      <c r="I15" s="626"/>
      <c r="J15" s="626"/>
      <c r="K15" s="626"/>
      <c r="L15" s="626"/>
      <c r="M15" s="626"/>
      <c r="N15" s="626"/>
      <c r="O15" s="627"/>
      <c r="P15" s="91"/>
      <c r="Q15" s="92"/>
      <c r="R15" s="92"/>
      <c r="S15" s="98"/>
      <c r="T15" s="98"/>
      <c r="U15" s="98"/>
      <c r="V15" s="98"/>
      <c r="W15" s="99"/>
    </row>
    <row r="16" spans="1:27" s="2" customFormat="1" ht="20.100000000000001" customHeight="1" thickBot="1" x14ac:dyDescent="0.2">
      <c r="A16" s="392" t="s">
        <v>15</v>
      </c>
      <c r="B16" s="393"/>
      <c r="C16" s="47"/>
      <c r="D16" s="398"/>
      <c r="E16" s="398"/>
      <c r="F16" s="378"/>
      <c r="G16" s="630" t="s">
        <v>270</v>
      </c>
      <c r="H16" s="631"/>
      <c r="I16" s="631"/>
      <c r="J16" s="631"/>
      <c r="K16" s="631"/>
      <c r="L16" s="631"/>
      <c r="M16" s="631"/>
      <c r="N16" s="631"/>
      <c r="O16" s="632"/>
      <c r="P16" s="402"/>
      <c r="Q16" s="403"/>
      <c r="R16" s="403"/>
      <c r="S16" s="98"/>
      <c r="T16" s="98"/>
      <c r="U16" s="98"/>
      <c r="V16" s="98"/>
      <c r="W16" s="99"/>
    </row>
    <row r="17" spans="1:25" s="2" customFormat="1" ht="17.25" customHeight="1" x14ac:dyDescent="0.15">
      <c r="A17" s="396"/>
      <c r="B17" s="397"/>
      <c r="C17" s="5"/>
      <c r="D17" s="8"/>
      <c r="E17" s="9"/>
      <c r="F17" s="9"/>
      <c r="G17" s="633"/>
      <c r="H17" s="634"/>
      <c r="I17" s="634"/>
      <c r="J17" s="634"/>
      <c r="K17" s="634"/>
      <c r="L17" s="634"/>
      <c r="M17" s="634"/>
      <c r="N17" s="634"/>
      <c r="O17" s="635"/>
      <c r="P17" s="8"/>
      <c r="Q17" s="9"/>
      <c r="R17" s="5"/>
      <c r="S17" s="630" t="s">
        <v>244</v>
      </c>
      <c r="T17" s="631"/>
      <c r="U17" s="631"/>
      <c r="V17" s="631"/>
      <c r="W17" s="632"/>
    </row>
    <row r="18" spans="1:25" s="2" customFormat="1" ht="17.25" customHeight="1" x14ac:dyDescent="0.15">
      <c r="A18" s="192" t="s">
        <v>24</v>
      </c>
      <c r="B18" s="628"/>
      <c r="C18" s="629"/>
      <c r="D18" s="201" t="s">
        <v>25</v>
      </c>
      <c r="E18" s="352"/>
      <c r="F18" s="353"/>
      <c r="G18" s="201"/>
      <c r="H18" s="352"/>
      <c r="I18" s="352"/>
      <c r="J18" s="352"/>
      <c r="K18" s="352"/>
      <c r="L18" s="352"/>
      <c r="M18" s="352"/>
      <c r="N18" s="352"/>
      <c r="O18" s="353"/>
      <c r="P18" s="8"/>
      <c r="Q18" s="9"/>
      <c r="R18" s="5"/>
      <c r="S18" s="633"/>
      <c r="T18" s="634"/>
      <c r="U18" s="634"/>
      <c r="V18" s="634"/>
      <c r="W18" s="635"/>
    </row>
    <row r="19" spans="1:25" s="2" customFormat="1" ht="15.95" customHeight="1" x14ac:dyDescent="0.15">
      <c r="A19" s="636" t="s">
        <v>245</v>
      </c>
      <c r="B19" s="637"/>
      <c r="C19" s="637"/>
      <c r="D19" s="637"/>
      <c r="E19" s="637"/>
      <c r="F19" s="637"/>
      <c r="G19" s="637"/>
      <c r="H19" s="637"/>
      <c r="I19" s="637"/>
      <c r="J19" s="637"/>
      <c r="K19" s="637"/>
      <c r="L19" s="640" t="s">
        <v>271</v>
      </c>
      <c r="M19" s="643"/>
      <c r="N19" s="643"/>
      <c r="O19" s="643"/>
      <c r="P19" s="643"/>
      <c r="Q19" s="643"/>
      <c r="R19" s="643"/>
      <c r="S19" s="643"/>
      <c r="T19" s="643"/>
      <c r="U19" s="643"/>
      <c r="V19" s="643"/>
      <c r="W19" s="644"/>
    </row>
    <row r="20" spans="1:25" s="2" customFormat="1" ht="15.95" customHeight="1" x14ac:dyDescent="0.15">
      <c r="A20" s="638"/>
      <c r="B20" s="639"/>
      <c r="C20" s="639"/>
      <c r="D20" s="639"/>
      <c r="E20" s="639"/>
      <c r="F20" s="639"/>
      <c r="G20" s="639"/>
      <c r="H20" s="639"/>
      <c r="I20" s="639"/>
      <c r="J20" s="639"/>
      <c r="K20" s="639"/>
      <c r="L20" s="641"/>
      <c r="M20" s="645"/>
      <c r="N20" s="645"/>
      <c r="O20" s="645"/>
      <c r="P20" s="645"/>
      <c r="Q20" s="645"/>
      <c r="R20" s="645"/>
      <c r="S20" s="645"/>
      <c r="T20" s="645"/>
      <c r="U20" s="645"/>
      <c r="V20" s="645"/>
      <c r="W20" s="646"/>
    </row>
    <row r="21" spans="1:25" s="2" customFormat="1" ht="15.95" customHeight="1" x14ac:dyDescent="0.15">
      <c r="A21" s="638"/>
      <c r="B21" s="639"/>
      <c r="C21" s="639"/>
      <c r="D21" s="639"/>
      <c r="E21" s="639"/>
      <c r="F21" s="639"/>
      <c r="G21" s="639"/>
      <c r="H21" s="639"/>
      <c r="I21" s="639"/>
      <c r="J21" s="639"/>
      <c r="K21" s="639"/>
      <c r="L21" s="641"/>
      <c r="M21" s="645"/>
      <c r="N21" s="645"/>
      <c r="O21" s="645"/>
      <c r="P21" s="645"/>
      <c r="Q21" s="645"/>
      <c r="R21" s="645"/>
      <c r="S21" s="645"/>
      <c r="T21" s="645"/>
      <c r="U21" s="645"/>
      <c r="V21" s="645"/>
      <c r="W21" s="646"/>
    </row>
    <row r="22" spans="1:25" s="2" customFormat="1" ht="17.25" customHeight="1" x14ac:dyDescent="0.15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641"/>
      <c r="M22" s="645"/>
      <c r="N22" s="645"/>
      <c r="O22" s="645"/>
      <c r="P22" s="645"/>
      <c r="Q22" s="645"/>
      <c r="R22" s="645"/>
      <c r="S22" s="645"/>
      <c r="T22" s="645"/>
      <c r="U22" s="645"/>
      <c r="V22" s="645"/>
      <c r="W22" s="646"/>
    </row>
    <row r="23" spans="1:25" s="2" customFormat="1" ht="16.5" customHeight="1" thickBot="1" x14ac:dyDescent="0.2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642"/>
      <c r="M23" s="647"/>
      <c r="N23" s="647"/>
      <c r="O23" s="647"/>
      <c r="P23" s="647"/>
      <c r="Q23" s="647"/>
      <c r="R23" s="647"/>
      <c r="S23" s="647"/>
      <c r="T23" s="647"/>
      <c r="U23" s="647"/>
      <c r="V23" s="647"/>
      <c r="W23" s="648"/>
    </row>
    <row r="24" spans="1:25" s="21" customFormat="1" ht="16.5" customHeight="1" x14ac:dyDescent="0.15">
      <c r="A24" s="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3"/>
    </row>
    <row r="25" spans="1:25" s="21" customFormat="1" ht="16.5" customHeight="1" x14ac:dyDescent="0.15">
      <c r="A25" s="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3"/>
    </row>
    <row r="26" spans="1:25" s="21" customFormat="1" ht="16.5" customHeight="1" x14ac:dyDescent="0.15">
      <c r="A26" s="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3"/>
    </row>
    <row r="27" spans="1:25" s="21" customFormat="1" ht="17.100000000000001" customHeight="1" x14ac:dyDescent="0.15">
      <c r="A27" s="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3"/>
    </row>
    <row r="28" spans="1:25" s="21" customFormat="1" ht="17.100000000000001" customHeight="1" x14ac:dyDescent="0.15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3"/>
    </row>
    <row r="29" spans="1:25" s="21" customFormat="1" ht="17.100000000000001" customHeight="1" x14ac:dyDescent="0.15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3"/>
    </row>
    <row r="30" spans="1:25" s="21" customFormat="1" ht="17.100000000000001" customHeight="1" x14ac:dyDescent="0.15">
      <c r="A30" s="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3"/>
      <c r="Y30" s="32"/>
    </row>
    <row r="31" spans="1:25" s="21" customFormat="1" ht="17.100000000000001" customHeight="1" x14ac:dyDescent="0.15">
      <c r="A31" s="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3"/>
    </row>
    <row r="32" spans="1:25" s="21" customFormat="1" ht="17.100000000000001" customHeight="1" x14ac:dyDescent="0.15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3"/>
    </row>
    <row r="33" spans="1:23" s="21" customFormat="1" ht="16.5" customHeight="1" x14ac:dyDescent="0.15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3"/>
    </row>
    <row r="34" spans="1:23" s="21" customFormat="1" ht="17.100000000000001" customHeight="1" x14ac:dyDescent="0.15">
      <c r="A34" s="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3"/>
    </row>
    <row r="35" spans="1:23" s="21" customFormat="1" ht="17.100000000000001" customHeight="1" x14ac:dyDescent="0.15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3"/>
    </row>
    <row r="36" spans="1:23" s="21" customFormat="1" ht="15" customHeight="1" x14ac:dyDescent="0.15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3"/>
    </row>
    <row r="37" spans="1:23" s="21" customFormat="1" ht="15" customHeight="1" x14ac:dyDescent="0.1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3"/>
    </row>
    <row r="38" spans="1:23" s="21" customFormat="1" ht="33.75" customHeight="1" x14ac:dyDescent="0.1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3"/>
    </row>
    <row r="39" spans="1:23" s="21" customFormat="1" ht="18" customHeight="1" x14ac:dyDescent="0.1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3"/>
    </row>
    <row r="40" spans="1:23" s="21" customFormat="1" ht="15" customHeight="1" x14ac:dyDescent="0.1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3"/>
    </row>
    <row r="41" spans="1:23" s="21" customFormat="1" ht="15.75" customHeight="1" x14ac:dyDescent="0.1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3"/>
    </row>
    <row r="42" spans="1:23" s="21" customFormat="1" ht="24.95" customHeight="1" x14ac:dyDescent="0.1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3"/>
    </row>
    <row r="43" spans="1:23" s="21" customFormat="1" ht="24.95" customHeight="1" x14ac:dyDescent="0.1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3"/>
    </row>
    <row r="44" spans="1:23" s="21" customFormat="1" ht="24.95" customHeight="1" thickBot="1" x14ac:dyDescent="0.2">
      <c r="A44" s="119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1"/>
    </row>
    <row r="45" spans="1:23" s="21" customFormat="1" ht="13.5" customHeight="1" x14ac:dyDescent="0.15">
      <c r="A45" s="620" t="s">
        <v>220</v>
      </c>
      <c r="B45" s="620"/>
      <c r="C45" s="620"/>
      <c r="D45" s="620"/>
      <c r="E45" s="620"/>
      <c r="F45" s="620"/>
      <c r="G45" s="22"/>
      <c r="H45" s="22"/>
      <c r="I45" s="22"/>
      <c r="J45" s="318" t="s">
        <v>50</v>
      </c>
      <c r="K45" s="318"/>
      <c r="L45" s="318"/>
      <c r="M45" s="318"/>
      <c r="N45" s="318"/>
      <c r="O45" s="318"/>
      <c r="P45" s="45"/>
      <c r="Q45" s="45"/>
      <c r="R45" s="45"/>
      <c r="S45" s="621" t="s">
        <v>51</v>
      </c>
      <c r="T45" s="621"/>
      <c r="U45" s="621"/>
      <c r="V45" s="621"/>
      <c r="W45" s="621"/>
    </row>
    <row r="46" spans="1:23" s="1" customFormat="1" ht="12" x14ac:dyDescent="0.15">
      <c r="A46" s="24">
        <v>1</v>
      </c>
      <c r="B46" s="25" t="s">
        <v>52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1"/>
      <c r="V46" s="21"/>
      <c r="W46" s="21"/>
    </row>
    <row r="47" spans="1:23" s="1" customFormat="1" ht="12" x14ac:dyDescent="0.15">
      <c r="A47" s="24">
        <v>2</v>
      </c>
      <c r="B47" s="25" t="s">
        <v>53</v>
      </c>
      <c r="C47" s="25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</row>
    <row r="48" spans="1:23" s="1" customFormat="1" ht="12" x14ac:dyDescent="0.15">
      <c r="A48" s="24">
        <v>3</v>
      </c>
      <c r="B48" s="25" t="s">
        <v>54</v>
      </c>
      <c r="C48" s="25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</row>
    <row r="49" spans="1:20" s="1" customFormat="1" ht="12" x14ac:dyDescent="0.15">
      <c r="A49" s="24">
        <v>4</v>
      </c>
      <c r="B49" s="25" t="s">
        <v>52</v>
      </c>
      <c r="C49" s="25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</row>
    <row r="50" spans="1:20" s="1" customFormat="1" ht="12" x14ac:dyDescent="0.15">
      <c r="A50" s="24">
        <v>5</v>
      </c>
      <c r="B50" s="25" t="s">
        <v>53</v>
      </c>
      <c r="C50" s="25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</row>
    <row r="51" spans="1:20" s="1" customFormat="1" ht="12" x14ac:dyDescent="0.15">
      <c r="A51" s="24">
        <v>6</v>
      </c>
      <c r="B51" s="25" t="s">
        <v>53</v>
      </c>
      <c r="C51" s="25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S51" s="27"/>
      <c r="T51" s="27"/>
    </row>
    <row r="52" spans="1:20" s="1" customFormat="1" ht="12" x14ac:dyDescent="0.15">
      <c r="A52" s="24">
        <v>7</v>
      </c>
      <c r="B52" s="25" t="s">
        <v>52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</row>
    <row r="53" spans="1:20" s="1" customFormat="1" ht="12" x14ac:dyDescent="0.1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</row>
    <row r="54" spans="1:20" s="1" customFormat="1" ht="12" x14ac:dyDescent="0.1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</row>
    <row r="55" spans="1:20" s="1" customFormat="1" ht="12" x14ac:dyDescent="0.1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</row>
    <row r="56" spans="1:20" s="1" customFormat="1" ht="12" x14ac:dyDescent="0.1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</row>
  </sheetData>
  <mergeCells count="81">
    <mergeCell ref="A12:B12"/>
    <mergeCell ref="C12:E12"/>
    <mergeCell ref="A13:B13"/>
    <mergeCell ref="C13:E13"/>
    <mergeCell ref="G13:I13"/>
    <mergeCell ref="A1:H2"/>
    <mergeCell ref="I1:J1"/>
    <mergeCell ref="K1:M1"/>
    <mergeCell ref="I2:J2"/>
    <mergeCell ref="K2:M2"/>
    <mergeCell ref="A3:C3"/>
    <mergeCell ref="D3:M3"/>
    <mergeCell ref="N3:O3"/>
    <mergeCell ref="P3:R3"/>
    <mergeCell ref="S3:W3"/>
    <mergeCell ref="N4:O5"/>
    <mergeCell ref="V4:W5"/>
    <mergeCell ref="P4:U5"/>
    <mergeCell ref="N1:O2"/>
    <mergeCell ref="P1:W2"/>
    <mergeCell ref="A4:B4"/>
    <mergeCell ref="C4:G4"/>
    <mergeCell ref="H4:I4"/>
    <mergeCell ref="J4:M4"/>
    <mergeCell ref="A5:B5"/>
    <mergeCell ref="C5:G5"/>
    <mergeCell ref="H5:I5"/>
    <mergeCell ref="J5:M5"/>
    <mergeCell ref="P9:R9"/>
    <mergeCell ref="K7:L8"/>
    <mergeCell ref="M7:M8"/>
    <mergeCell ref="N7:O8"/>
    <mergeCell ref="P7:P8"/>
    <mergeCell ref="Q7:R8"/>
    <mergeCell ref="A6:R6"/>
    <mergeCell ref="S6:T6"/>
    <mergeCell ref="U6:W6"/>
    <mergeCell ref="A7:A8"/>
    <mergeCell ref="B7:C8"/>
    <mergeCell ref="D7:D8"/>
    <mergeCell ref="E7:F8"/>
    <mergeCell ref="G7:G8"/>
    <mergeCell ref="H7:I8"/>
    <mergeCell ref="J7:J8"/>
    <mergeCell ref="U7:W7"/>
    <mergeCell ref="S8:T9"/>
    <mergeCell ref="U8:W9"/>
    <mergeCell ref="A9:C9"/>
    <mergeCell ref="D9:F9"/>
    <mergeCell ref="G9:I9"/>
    <mergeCell ref="S7:T7"/>
    <mergeCell ref="A11:E11"/>
    <mergeCell ref="H11:J11"/>
    <mergeCell ref="K12:K13"/>
    <mergeCell ref="L12:M13"/>
    <mergeCell ref="A10:C10"/>
    <mergeCell ref="D10:E10"/>
    <mergeCell ref="F10:G11"/>
    <mergeCell ref="H10:I10"/>
    <mergeCell ref="K10:M11"/>
    <mergeCell ref="N10:Q11"/>
    <mergeCell ref="R10:W10"/>
    <mergeCell ref="R11:T11"/>
    <mergeCell ref="U11:W11"/>
    <mergeCell ref="J9:L9"/>
    <mergeCell ref="M9:O9"/>
    <mergeCell ref="A45:F45"/>
    <mergeCell ref="J45:O45"/>
    <mergeCell ref="S45:W45"/>
    <mergeCell ref="G14:O15"/>
    <mergeCell ref="A18:C18"/>
    <mergeCell ref="D18:F18"/>
    <mergeCell ref="G18:O18"/>
    <mergeCell ref="A16:B17"/>
    <mergeCell ref="D16:F16"/>
    <mergeCell ref="P16:R16"/>
    <mergeCell ref="S17:W18"/>
    <mergeCell ref="G16:O17"/>
    <mergeCell ref="A19:K21"/>
    <mergeCell ref="L19:L23"/>
    <mergeCell ref="M19:W23"/>
  </mergeCells>
  <phoneticPr fontId="3" type="noConversion"/>
  <printOptions horizont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2060"/>
  </sheetPr>
  <dimension ref="A1:AA56"/>
  <sheetViews>
    <sheetView showGridLines="0" showZeros="0" view="pageBreakPreview" zoomScale="85" zoomScaleNormal="100" zoomScaleSheetLayoutView="85" workbookViewId="0">
      <selection activeCell="Y10" sqref="Y10"/>
    </sheetView>
  </sheetViews>
  <sheetFormatPr defaultRowHeight="13.5" x14ac:dyDescent="0.15"/>
  <cols>
    <col min="1" max="13" width="3.6640625" style="29" customWidth="1"/>
    <col min="14" max="15" width="3.77734375" style="29" customWidth="1"/>
    <col min="16" max="20" width="3.6640625" style="29" customWidth="1"/>
    <col min="21" max="23" width="3.6640625" customWidth="1"/>
  </cols>
  <sheetData>
    <row r="1" spans="1:27" ht="20.100000000000001" customHeight="1" x14ac:dyDescent="0.15">
      <c r="A1" s="428" t="s">
        <v>55</v>
      </c>
      <c r="B1" s="413"/>
      <c r="C1" s="413"/>
      <c r="D1" s="413"/>
      <c r="E1" s="413"/>
      <c r="F1" s="413"/>
      <c r="G1" s="413"/>
      <c r="H1" s="413"/>
      <c r="I1" s="663" t="s">
        <v>196</v>
      </c>
      <c r="J1" s="664"/>
      <c r="K1" s="665" t="s">
        <v>195</v>
      </c>
      <c r="L1" s="665"/>
      <c r="M1" s="666"/>
      <c r="N1" s="409" t="s">
        <v>7</v>
      </c>
      <c r="O1" s="410"/>
      <c r="P1" s="413" t="str">
        <f>sheet1!P1</f>
        <v>000000-00-00-00</v>
      </c>
      <c r="Q1" s="413"/>
      <c r="R1" s="413"/>
      <c r="S1" s="413"/>
      <c r="T1" s="413"/>
      <c r="U1" s="413"/>
      <c r="V1" s="413"/>
      <c r="W1" s="414"/>
    </row>
    <row r="2" spans="1:27" ht="20.100000000000001" customHeight="1" x14ac:dyDescent="0.15">
      <c r="A2" s="429"/>
      <c r="B2" s="415"/>
      <c r="C2" s="415"/>
      <c r="D2" s="415"/>
      <c r="E2" s="415"/>
      <c r="F2" s="415"/>
      <c r="G2" s="415"/>
      <c r="H2" s="415"/>
      <c r="I2" s="667" t="s">
        <v>219</v>
      </c>
      <c r="J2" s="668"/>
      <c r="K2" s="669">
        <f ca="1">TODAY()</f>
        <v>44313</v>
      </c>
      <c r="L2" s="670"/>
      <c r="M2" s="671"/>
      <c r="N2" s="524"/>
      <c r="O2" s="525"/>
      <c r="P2" s="526"/>
      <c r="Q2" s="526"/>
      <c r="R2" s="526"/>
      <c r="S2" s="526"/>
      <c r="T2" s="526"/>
      <c r="U2" s="526"/>
      <c r="V2" s="526"/>
      <c r="W2" s="527"/>
    </row>
    <row r="3" spans="1:27" s="1" customFormat="1" ht="15" customHeight="1" x14ac:dyDescent="0.15">
      <c r="A3" s="440" t="s">
        <v>0</v>
      </c>
      <c r="B3" s="441"/>
      <c r="C3" s="441"/>
      <c r="D3" s="425" t="str">
        <f>sheet1!D3</f>
        <v>지엠비코리아㈜</v>
      </c>
      <c r="E3" s="426"/>
      <c r="F3" s="426"/>
      <c r="G3" s="426"/>
      <c r="H3" s="426"/>
      <c r="I3" s="426"/>
      <c r="J3" s="426"/>
      <c r="K3" s="528"/>
      <c r="L3" s="528"/>
      <c r="M3" s="529"/>
      <c r="N3" s="423" t="s">
        <v>1</v>
      </c>
      <c r="O3" s="423"/>
      <c r="P3" s="530" t="s">
        <v>187</v>
      </c>
      <c r="Q3" s="531"/>
      <c r="R3" s="531"/>
      <c r="S3" s="532" t="s">
        <v>188</v>
      </c>
      <c r="T3" s="533"/>
      <c r="U3" s="533"/>
      <c r="V3" s="533"/>
      <c r="W3" s="534"/>
    </row>
    <row r="4" spans="1:27" s="1" customFormat="1" ht="24.95" customHeight="1" x14ac:dyDescent="0.15">
      <c r="A4" s="422" t="s">
        <v>2</v>
      </c>
      <c r="B4" s="423"/>
      <c r="C4" s="424" t="str">
        <f>sheet1!C4</f>
        <v>OUTTER RING</v>
      </c>
      <c r="D4" s="424"/>
      <c r="E4" s="424"/>
      <c r="F4" s="424"/>
      <c r="G4" s="424"/>
      <c r="H4" s="423" t="s">
        <v>3</v>
      </c>
      <c r="I4" s="423"/>
      <c r="J4" s="423" t="str">
        <f>sheet1!J4</f>
        <v>SUJ2</v>
      </c>
      <c r="K4" s="423"/>
      <c r="L4" s="423"/>
      <c r="M4" s="423"/>
      <c r="N4" s="447" t="s">
        <v>4</v>
      </c>
      <c r="O4" s="195"/>
      <c r="P4" s="454">
        <f>sheet1!P4</f>
        <v>0</v>
      </c>
      <c r="Q4" s="450"/>
      <c r="R4" s="450"/>
      <c r="S4" s="450"/>
      <c r="T4" s="450"/>
      <c r="U4" s="450"/>
      <c r="V4" s="450"/>
      <c r="W4" s="451"/>
      <c r="Y4" s="1" t="s">
        <v>72</v>
      </c>
      <c r="Z4" s="1" t="s">
        <v>73</v>
      </c>
      <c r="AA4" s="1" t="s">
        <v>74</v>
      </c>
    </row>
    <row r="5" spans="1:27" s="1" customFormat="1" ht="24.95" customHeight="1" thickBot="1" x14ac:dyDescent="0.2">
      <c r="A5" s="417" t="s">
        <v>5</v>
      </c>
      <c r="B5" s="418"/>
      <c r="C5" s="419" t="str">
        <f>sheet1!C5</f>
        <v>D-ENG[복열-VE사양]</v>
      </c>
      <c r="D5" s="419"/>
      <c r="E5" s="419"/>
      <c r="F5" s="419"/>
      <c r="G5" s="419"/>
      <c r="H5" s="420" t="s">
        <v>6</v>
      </c>
      <c r="I5" s="420"/>
      <c r="J5" s="421" t="s">
        <v>186</v>
      </c>
      <c r="K5" s="421"/>
      <c r="L5" s="421"/>
      <c r="M5" s="421"/>
      <c r="N5" s="448"/>
      <c r="O5" s="449"/>
      <c r="P5" s="455"/>
      <c r="Q5" s="452"/>
      <c r="R5" s="452"/>
      <c r="S5" s="452"/>
      <c r="T5" s="452"/>
      <c r="U5" s="452"/>
      <c r="V5" s="452"/>
      <c r="W5" s="453"/>
      <c r="Z5" s="1" t="str">
        <f>MID(Y5,9,1)</f>
        <v/>
      </c>
      <c r="AA5" s="1" t="e">
        <f>Z5*1</f>
        <v>#VALUE!</v>
      </c>
    </row>
    <row r="6" spans="1:27" s="1" customFormat="1" ht="16.5" customHeight="1" thickBot="1" x14ac:dyDescent="0.2">
      <c r="A6" s="651" t="s">
        <v>88</v>
      </c>
      <c r="B6" s="652"/>
      <c r="C6" s="652"/>
      <c r="D6" s="652"/>
      <c r="E6" s="652"/>
      <c r="F6" s="652"/>
      <c r="G6" s="652"/>
      <c r="H6" s="652"/>
      <c r="I6" s="652"/>
      <c r="J6" s="652"/>
      <c r="K6" s="652"/>
      <c r="L6" s="652"/>
      <c r="M6" s="652"/>
      <c r="N6" s="652"/>
      <c r="O6" s="652"/>
      <c r="P6" s="652"/>
      <c r="Q6" s="652"/>
      <c r="R6" s="653"/>
      <c r="S6" s="654" t="s">
        <v>9</v>
      </c>
      <c r="T6" s="655"/>
      <c r="U6" s="656" t="str">
        <f>sheet1!S6</f>
        <v>표준수량</v>
      </c>
      <c r="V6" s="171"/>
      <c r="W6" s="657"/>
    </row>
    <row r="7" spans="1:27" s="1" customFormat="1" ht="16.5" customHeight="1" x14ac:dyDescent="0.15">
      <c r="A7" s="247" t="s">
        <v>80</v>
      </c>
      <c r="B7" s="211" t="s">
        <v>189</v>
      </c>
      <c r="C7" s="249"/>
      <c r="D7" s="209" t="s">
        <v>82</v>
      </c>
      <c r="E7" s="211" t="s">
        <v>186</v>
      </c>
      <c r="F7" s="251"/>
      <c r="G7" s="253" t="s">
        <v>84</v>
      </c>
      <c r="H7" s="211"/>
      <c r="I7" s="249"/>
      <c r="J7" s="209" t="s">
        <v>86</v>
      </c>
      <c r="K7" s="211"/>
      <c r="L7" s="251"/>
      <c r="M7" s="253" t="s">
        <v>79</v>
      </c>
      <c r="N7" s="211"/>
      <c r="O7" s="249"/>
      <c r="P7" s="209" t="s">
        <v>125</v>
      </c>
      <c r="Q7" s="211"/>
      <c r="R7" s="212"/>
      <c r="S7" s="194" t="s">
        <v>178</v>
      </c>
      <c r="T7" s="195"/>
      <c r="U7" s="196">
        <f>sheet1!U7</f>
        <v>0</v>
      </c>
      <c r="V7" s="197"/>
      <c r="W7" s="198"/>
    </row>
    <row r="8" spans="1:27" s="1" customFormat="1" ht="16.5" customHeight="1" x14ac:dyDescent="0.15">
      <c r="A8" s="248"/>
      <c r="B8" s="213"/>
      <c r="C8" s="250"/>
      <c r="D8" s="210"/>
      <c r="E8" s="213"/>
      <c r="F8" s="252"/>
      <c r="G8" s="254"/>
      <c r="H8" s="213"/>
      <c r="I8" s="250"/>
      <c r="J8" s="210"/>
      <c r="K8" s="213"/>
      <c r="L8" s="252"/>
      <c r="M8" s="254"/>
      <c r="N8" s="213"/>
      <c r="O8" s="250"/>
      <c r="P8" s="210"/>
      <c r="Q8" s="213"/>
      <c r="R8" s="214"/>
      <c r="S8" s="199" t="s">
        <v>179</v>
      </c>
      <c r="T8" s="200"/>
      <c r="U8" s="203">
        <f>sheet1!U8</f>
        <v>0</v>
      </c>
      <c r="V8" s="204"/>
      <c r="W8" s="205"/>
    </row>
    <row r="9" spans="1:27" s="1" customFormat="1" ht="16.5" customHeight="1" thickBot="1" x14ac:dyDescent="0.2">
      <c r="A9" s="229" t="s">
        <v>10</v>
      </c>
      <c r="B9" s="230"/>
      <c r="C9" s="230"/>
      <c r="D9" s="649" t="s">
        <v>10</v>
      </c>
      <c r="E9" s="230"/>
      <c r="F9" s="650"/>
      <c r="G9" s="230" t="s">
        <v>10</v>
      </c>
      <c r="H9" s="230"/>
      <c r="I9" s="230"/>
      <c r="J9" s="649" t="s">
        <v>10</v>
      </c>
      <c r="K9" s="230"/>
      <c r="L9" s="650"/>
      <c r="M9" s="230" t="s">
        <v>10</v>
      </c>
      <c r="N9" s="230"/>
      <c r="O9" s="230"/>
      <c r="P9" s="649" t="s">
        <v>10</v>
      </c>
      <c r="Q9" s="230"/>
      <c r="R9" s="662"/>
      <c r="S9" s="658"/>
      <c r="T9" s="238"/>
      <c r="U9" s="659"/>
      <c r="V9" s="660"/>
      <c r="W9" s="661"/>
    </row>
    <row r="10" spans="1:27" s="2" customFormat="1" ht="15" customHeight="1" x14ac:dyDescent="0.15">
      <c r="A10" s="386" t="s">
        <v>11</v>
      </c>
      <c r="B10" s="387"/>
      <c r="C10" s="387"/>
      <c r="D10" s="388" t="str">
        <f>sheet1!D10</f>
        <v>DS10-H-01</v>
      </c>
      <c r="E10" s="388"/>
      <c r="F10" s="242" t="s">
        <v>216</v>
      </c>
      <c r="G10" s="243"/>
      <c r="H10" s="245" t="s">
        <v>180</v>
      </c>
      <c r="I10" s="246"/>
      <c r="J10" s="72"/>
      <c r="K10" s="239" t="s">
        <v>217</v>
      </c>
      <c r="L10" s="240"/>
      <c r="M10" s="240"/>
      <c r="N10" s="178" t="s">
        <v>215</v>
      </c>
      <c r="O10" s="179"/>
      <c r="P10" s="179"/>
      <c r="Q10" s="180"/>
      <c r="R10" s="184" t="s">
        <v>192</v>
      </c>
      <c r="S10" s="185"/>
      <c r="T10" s="185"/>
      <c r="U10" s="185"/>
      <c r="V10" s="185"/>
      <c r="W10" s="186"/>
    </row>
    <row r="11" spans="1:27" s="2" customFormat="1" ht="24" customHeight="1" thickBot="1" x14ac:dyDescent="0.2">
      <c r="A11" s="235" t="s">
        <v>218</v>
      </c>
      <c r="B11" s="236"/>
      <c r="C11" s="236"/>
      <c r="D11" s="236"/>
      <c r="E11" s="231"/>
      <c r="F11" s="244"/>
      <c r="G11" s="244"/>
      <c r="H11" s="237"/>
      <c r="I11" s="220"/>
      <c r="J11" s="238"/>
      <c r="K11" s="241"/>
      <c r="L11" s="241"/>
      <c r="M11" s="241"/>
      <c r="N11" s="181"/>
      <c r="O11" s="182"/>
      <c r="P11" s="182"/>
      <c r="Q11" s="183"/>
      <c r="R11" s="187" t="s">
        <v>193</v>
      </c>
      <c r="S11" s="188"/>
      <c r="T11" s="188"/>
      <c r="U11" s="188" t="s">
        <v>194</v>
      </c>
      <c r="V11" s="188"/>
      <c r="W11" s="189"/>
    </row>
    <row r="12" spans="1:27" s="2" customFormat="1" ht="30" customHeight="1" thickBot="1" x14ac:dyDescent="0.2">
      <c r="A12" s="672" t="s">
        <v>1</v>
      </c>
      <c r="B12" s="673"/>
      <c r="C12" s="674" t="s">
        <v>28</v>
      </c>
      <c r="D12" s="675"/>
      <c r="E12" s="676"/>
      <c r="F12" s="104"/>
      <c r="G12" s="73"/>
      <c r="H12" s="73"/>
      <c r="I12" s="73"/>
      <c r="J12" s="73"/>
      <c r="K12" s="387"/>
      <c r="L12" s="387"/>
      <c r="M12" s="387"/>
      <c r="N12" s="73"/>
      <c r="O12" s="73"/>
      <c r="P12" s="73"/>
      <c r="Q12" s="5"/>
      <c r="R12" s="5"/>
      <c r="S12" s="100"/>
      <c r="T12" s="96"/>
      <c r="U12" s="96"/>
      <c r="V12" s="96"/>
      <c r="W12" s="97"/>
    </row>
    <row r="13" spans="1:27" s="2" customFormat="1" ht="30" customHeight="1" thickBot="1" x14ac:dyDescent="0.2">
      <c r="A13" s="677" t="s">
        <v>31</v>
      </c>
      <c r="B13" s="678"/>
      <c r="C13" s="679"/>
      <c r="D13" s="680"/>
      <c r="E13" s="681"/>
      <c r="F13" s="7"/>
      <c r="G13" s="682"/>
      <c r="H13" s="683"/>
      <c r="I13" s="684"/>
      <c r="J13" s="5"/>
      <c r="K13" s="628"/>
      <c r="L13" s="628"/>
      <c r="M13" s="628"/>
      <c r="N13" s="5"/>
      <c r="O13" s="5"/>
      <c r="P13" s="101"/>
      <c r="Q13" s="102"/>
      <c r="R13" s="103"/>
      <c r="S13" s="98"/>
      <c r="T13" s="98"/>
      <c r="U13" s="98"/>
      <c r="V13" s="98"/>
      <c r="W13" s="99"/>
    </row>
    <row r="14" spans="1:27" s="2" customFormat="1" ht="15" customHeight="1" x14ac:dyDescent="0.15">
      <c r="A14" s="116"/>
      <c r="B14" s="118"/>
      <c r="C14" s="118"/>
      <c r="D14" s="118"/>
      <c r="E14" s="118"/>
      <c r="F14" s="5"/>
      <c r="G14" s="622" t="s">
        <v>246</v>
      </c>
      <c r="H14" s="623"/>
      <c r="I14" s="623"/>
      <c r="J14" s="623"/>
      <c r="K14" s="623"/>
      <c r="L14" s="623"/>
      <c r="M14" s="623"/>
      <c r="N14" s="623"/>
      <c r="O14" s="624"/>
      <c r="P14" s="116"/>
      <c r="Q14" s="118"/>
      <c r="R14" s="118"/>
      <c r="S14" s="98"/>
      <c r="T14" s="98"/>
      <c r="U14" s="98"/>
      <c r="V14" s="98"/>
      <c r="W14" s="99"/>
    </row>
    <row r="15" spans="1:27" s="2" customFormat="1" ht="20.100000000000001" customHeight="1" thickBot="1" x14ac:dyDescent="0.2">
      <c r="A15" s="116"/>
      <c r="B15" s="118"/>
      <c r="C15" s="118"/>
      <c r="D15" s="118"/>
      <c r="E15" s="118"/>
      <c r="F15" s="117"/>
      <c r="G15" s="625"/>
      <c r="H15" s="626"/>
      <c r="I15" s="626"/>
      <c r="J15" s="626"/>
      <c r="K15" s="626"/>
      <c r="L15" s="626"/>
      <c r="M15" s="626"/>
      <c r="N15" s="626"/>
      <c r="O15" s="627"/>
      <c r="P15" s="116"/>
      <c r="Q15" s="118"/>
      <c r="R15" s="118"/>
      <c r="S15" s="98"/>
      <c r="T15" s="98"/>
      <c r="U15" s="98"/>
      <c r="V15" s="98"/>
      <c r="W15" s="99"/>
    </row>
    <row r="16" spans="1:27" s="2" customFormat="1" ht="20.100000000000001" customHeight="1" thickBot="1" x14ac:dyDescent="0.2">
      <c r="A16" s="392" t="s">
        <v>15</v>
      </c>
      <c r="B16" s="393"/>
      <c r="C16" s="47"/>
      <c r="D16" s="398"/>
      <c r="E16" s="398"/>
      <c r="F16" s="378"/>
      <c r="G16" s="630" t="s">
        <v>270</v>
      </c>
      <c r="H16" s="631"/>
      <c r="I16" s="631"/>
      <c r="J16" s="631"/>
      <c r="K16" s="631"/>
      <c r="L16" s="631"/>
      <c r="M16" s="631"/>
      <c r="N16" s="631"/>
      <c r="O16" s="632"/>
      <c r="P16" s="402"/>
      <c r="Q16" s="403"/>
      <c r="R16" s="403"/>
      <c r="S16" s="98"/>
      <c r="T16" s="98"/>
      <c r="U16" s="98"/>
      <c r="V16" s="98"/>
      <c r="W16" s="99"/>
    </row>
    <row r="17" spans="1:25" s="2" customFormat="1" ht="17.25" customHeight="1" x14ac:dyDescent="0.15">
      <c r="A17" s="396"/>
      <c r="B17" s="397"/>
      <c r="C17" s="5"/>
      <c r="D17" s="8"/>
      <c r="E17" s="9"/>
      <c r="F17" s="9"/>
      <c r="G17" s="633"/>
      <c r="H17" s="634"/>
      <c r="I17" s="634"/>
      <c r="J17" s="634"/>
      <c r="K17" s="634"/>
      <c r="L17" s="634"/>
      <c r="M17" s="634"/>
      <c r="N17" s="634"/>
      <c r="O17" s="635"/>
      <c r="P17" s="8"/>
      <c r="Q17" s="9"/>
      <c r="R17" s="5"/>
      <c r="S17" s="630" t="s">
        <v>244</v>
      </c>
      <c r="T17" s="631"/>
      <c r="U17" s="631"/>
      <c r="V17" s="631"/>
      <c r="W17" s="632"/>
    </row>
    <row r="18" spans="1:25" s="2" customFormat="1" ht="17.25" customHeight="1" x14ac:dyDescent="0.15">
      <c r="A18" s="192" t="s">
        <v>24</v>
      </c>
      <c r="B18" s="628"/>
      <c r="C18" s="629"/>
      <c r="D18" s="201" t="s">
        <v>25</v>
      </c>
      <c r="E18" s="352"/>
      <c r="F18" s="353"/>
      <c r="G18" s="201"/>
      <c r="H18" s="352"/>
      <c r="I18" s="352"/>
      <c r="J18" s="352"/>
      <c r="K18" s="352"/>
      <c r="L18" s="352"/>
      <c r="M18" s="352"/>
      <c r="N18" s="352"/>
      <c r="O18" s="353"/>
      <c r="P18" s="8"/>
      <c r="Q18" s="9"/>
      <c r="R18" s="5"/>
      <c r="S18" s="633"/>
      <c r="T18" s="634"/>
      <c r="U18" s="634"/>
      <c r="V18" s="634"/>
      <c r="W18" s="635"/>
    </row>
    <row r="19" spans="1:25" s="2" customFormat="1" ht="15.95" customHeight="1" x14ac:dyDescent="0.15">
      <c r="A19" s="636" t="s">
        <v>245</v>
      </c>
      <c r="B19" s="637"/>
      <c r="C19" s="637"/>
      <c r="D19" s="637"/>
      <c r="E19" s="637"/>
      <c r="F19" s="637"/>
      <c r="G19" s="637"/>
      <c r="H19" s="637"/>
      <c r="I19" s="637"/>
      <c r="J19" s="637"/>
      <c r="K19" s="637"/>
      <c r="L19" s="640" t="s">
        <v>271</v>
      </c>
      <c r="M19" s="643"/>
      <c r="N19" s="643"/>
      <c r="O19" s="643"/>
      <c r="P19" s="643"/>
      <c r="Q19" s="643"/>
      <c r="R19" s="643"/>
      <c r="S19" s="643"/>
      <c r="T19" s="643"/>
      <c r="U19" s="643"/>
      <c r="V19" s="643"/>
      <c r="W19" s="644"/>
    </row>
    <row r="20" spans="1:25" s="2" customFormat="1" ht="15.95" customHeight="1" x14ac:dyDescent="0.15">
      <c r="A20" s="638"/>
      <c r="B20" s="639"/>
      <c r="C20" s="639"/>
      <c r="D20" s="639"/>
      <c r="E20" s="639"/>
      <c r="F20" s="639"/>
      <c r="G20" s="639"/>
      <c r="H20" s="639"/>
      <c r="I20" s="639"/>
      <c r="J20" s="639"/>
      <c r="K20" s="639"/>
      <c r="L20" s="641"/>
      <c r="M20" s="645"/>
      <c r="N20" s="645"/>
      <c r="O20" s="645"/>
      <c r="P20" s="645"/>
      <c r="Q20" s="645"/>
      <c r="R20" s="645"/>
      <c r="S20" s="645"/>
      <c r="T20" s="645"/>
      <c r="U20" s="645"/>
      <c r="V20" s="645"/>
      <c r="W20" s="646"/>
    </row>
    <row r="21" spans="1:25" s="2" customFormat="1" ht="15.95" customHeight="1" x14ac:dyDescent="0.15">
      <c r="A21" s="638"/>
      <c r="B21" s="639"/>
      <c r="C21" s="639"/>
      <c r="D21" s="639"/>
      <c r="E21" s="639"/>
      <c r="F21" s="639"/>
      <c r="G21" s="639"/>
      <c r="H21" s="639"/>
      <c r="I21" s="639"/>
      <c r="J21" s="639"/>
      <c r="K21" s="639"/>
      <c r="L21" s="641"/>
      <c r="M21" s="645"/>
      <c r="N21" s="645"/>
      <c r="O21" s="645"/>
      <c r="P21" s="645"/>
      <c r="Q21" s="645"/>
      <c r="R21" s="645"/>
      <c r="S21" s="645"/>
      <c r="T21" s="645"/>
      <c r="U21" s="645"/>
      <c r="V21" s="645"/>
      <c r="W21" s="646"/>
    </row>
    <row r="22" spans="1:25" s="2" customFormat="1" ht="17.25" customHeight="1" x14ac:dyDescent="0.15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641"/>
      <c r="M22" s="645"/>
      <c r="N22" s="645"/>
      <c r="O22" s="645"/>
      <c r="P22" s="645"/>
      <c r="Q22" s="645"/>
      <c r="R22" s="645"/>
      <c r="S22" s="645"/>
      <c r="T22" s="645"/>
      <c r="U22" s="645"/>
      <c r="V22" s="645"/>
      <c r="W22" s="646"/>
    </row>
    <row r="23" spans="1:25" s="2" customFormat="1" ht="16.5" customHeight="1" thickBot="1" x14ac:dyDescent="0.2">
      <c r="A23" s="4"/>
      <c r="B23" s="5"/>
      <c r="C23" s="5"/>
      <c r="D23" s="5"/>
      <c r="E23" s="5"/>
      <c r="F23" s="5"/>
      <c r="G23" s="5"/>
      <c r="H23" s="5"/>
      <c r="I23" s="5"/>
      <c r="J23" s="5"/>
      <c r="K23" s="5"/>
      <c r="L23" s="642"/>
      <c r="M23" s="647"/>
      <c r="N23" s="647"/>
      <c r="O23" s="647"/>
      <c r="P23" s="647"/>
      <c r="Q23" s="647"/>
      <c r="R23" s="647"/>
      <c r="S23" s="647"/>
      <c r="T23" s="647"/>
      <c r="U23" s="647"/>
      <c r="V23" s="647"/>
      <c r="W23" s="648"/>
    </row>
    <row r="24" spans="1:25" s="21" customFormat="1" ht="16.5" customHeight="1" x14ac:dyDescent="0.15">
      <c r="A24" s="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3"/>
    </row>
    <row r="25" spans="1:25" s="21" customFormat="1" ht="16.5" customHeight="1" x14ac:dyDescent="0.15">
      <c r="A25" s="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3"/>
    </row>
    <row r="26" spans="1:25" s="21" customFormat="1" ht="16.5" customHeight="1" x14ac:dyDescent="0.15">
      <c r="A26" s="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3"/>
    </row>
    <row r="27" spans="1:25" s="21" customFormat="1" ht="17.100000000000001" customHeight="1" x14ac:dyDescent="0.15">
      <c r="A27" s="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3"/>
    </row>
    <row r="28" spans="1:25" s="21" customFormat="1" ht="17.100000000000001" customHeight="1" x14ac:dyDescent="0.15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3"/>
    </row>
    <row r="29" spans="1:25" s="21" customFormat="1" ht="17.100000000000001" customHeight="1" x14ac:dyDescent="0.15">
      <c r="A29" s="4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3"/>
    </row>
    <row r="30" spans="1:25" s="21" customFormat="1" ht="17.100000000000001" customHeight="1" x14ac:dyDescent="0.15">
      <c r="A30" s="4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3"/>
      <c r="Y30" s="32"/>
    </row>
    <row r="31" spans="1:25" s="21" customFormat="1" ht="17.100000000000001" customHeight="1" x14ac:dyDescent="0.15">
      <c r="A31" s="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3"/>
    </row>
    <row r="32" spans="1:25" s="21" customFormat="1" ht="17.100000000000001" customHeight="1" x14ac:dyDescent="0.15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3"/>
    </row>
    <row r="33" spans="1:23" s="21" customFormat="1" ht="16.5" customHeight="1" x14ac:dyDescent="0.15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3"/>
    </row>
    <row r="34" spans="1:23" s="21" customFormat="1" ht="17.100000000000001" customHeight="1" x14ac:dyDescent="0.15">
      <c r="A34" s="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3"/>
    </row>
    <row r="35" spans="1:23" s="21" customFormat="1" ht="17.100000000000001" customHeight="1" x14ac:dyDescent="0.15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3"/>
    </row>
    <row r="36" spans="1:23" s="21" customFormat="1" ht="15" customHeight="1" x14ac:dyDescent="0.15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3"/>
    </row>
    <row r="37" spans="1:23" s="21" customFormat="1" ht="15" customHeight="1" x14ac:dyDescent="0.1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3"/>
    </row>
    <row r="38" spans="1:23" s="21" customFormat="1" ht="33.75" customHeight="1" x14ac:dyDescent="0.1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3"/>
    </row>
    <row r="39" spans="1:23" s="21" customFormat="1" ht="18" customHeight="1" x14ac:dyDescent="0.1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3"/>
    </row>
    <row r="40" spans="1:23" s="21" customFormat="1" ht="15" customHeight="1" x14ac:dyDescent="0.1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3"/>
    </row>
    <row r="41" spans="1:23" s="21" customFormat="1" ht="15.75" customHeight="1" x14ac:dyDescent="0.1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3"/>
    </row>
    <row r="42" spans="1:23" s="21" customFormat="1" ht="24.95" customHeight="1" x14ac:dyDescent="0.1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3"/>
    </row>
    <row r="43" spans="1:23" s="21" customFormat="1" ht="24.95" customHeight="1" x14ac:dyDescent="0.1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3"/>
    </row>
    <row r="44" spans="1:23" s="21" customFormat="1" ht="24.95" customHeight="1" thickBot="1" x14ac:dyDescent="0.2">
      <c r="A44" s="119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1"/>
    </row>
    <row r="45" spans="1:23" s="21" customFormat="1" ht="13.5" customHeight="1" x14ac:dyDescent="0.15">
      <c r="A45" s="620" t="s">
        <v>220</v>
      </c>
      <c r="B45" s="620"/>
      <c r="C45" s="620"/>
      <c r="D45" s="620"/>
      <c r="E45" s="620"/>
      <c r="F45" s="620"/>
      <c r="G45" s="22"/>
      <c r="H45" s="22"/>
      <c r="I45" s="22"/>
      <c r="J45" s="318" t="s">
        <v>50</v>
      </c>
      <c r="K45" s="318"/>
      <c r="L45" s="318"/>
      <c r="M45" s="318"/>
      <c r="N45" s="318"/>
      <c r="O45" s="318"/>
      <c r="P45" s="45"/>
      <c r="Q45" s="45"/>
      <c r="R45" s="45"/>
      <c r="S45" s="621" t="s">
        <v>51</v>
      </c>
      <c r="T45" s="621"/>
      <c r="U45" s="621"/>
      <c r="V45" s="621"/>
      <c r="W45" s="621"/>
    </row>
    <row r="46" spans="1:23" s="1" customFormat="1" ht="12" x14ac:dyDescent="0.15">
      <c r="A46" s="24">
        <v>1</v>
      </c>
      <c r="B46" s="25" t="s">
        <v>52</v>
      </c>
      <c r="C46" s="25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1"/>
      <c r="V46" s="21"/>
      <c r="W46" s="21"/>
    </row>
    <row r="47" spans="1:23" s="1" customFormat="1" ht="12" x14ac:dyDescent="0.15">
      <c r="A47" s="24">
        <v>2</v>
      </c>
      <c r="B47" s="25" t="s">
        <v>53</v>
      </c>
      <c r="C47" s="25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</row>
    <row r="48" spans="1:23" s="1" customFormat="1" ht="12" x14ac:dyDescent="0.15">
      <c r="A48" s="24">
        <v>3</v>
      </c>
      <c r="B48" s="25" t="s">
        <v>54</v>
      </c>
      <c r="C48" s="25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</row>
    <row r="49" spans="1:20" s="1" customFormat="1" ht="12" x14ac:dyDescent="0.15">
      <c r="A49" s="24">
        <v>4</v>
      </c>
      <c r="B49" s="25" t="s">
        <v>52</v>
      </c>
      <c r="C49" s="25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</row>
    <row r="50" spans="1:20" s="1" customFormat="1" ht="12" x14ac:dyDescent="0.15">
      <c r="A50" s="24">
        <v>5</v>
      </c>
      <c r="B50" s="25" t="s">
        <v>53</v>
      </c>
      <c r="C50" s="25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</row>
    <row r="51" spans="1:20" s="1" customFormat="1" ht="12" x14ac:dyDescent="0.15">
      <c r="A51" s="24">
        <v>6</v>
      </c>
      <c r="B51" s="25" t="s">
        <v>53</v>
      </c>
      <c r="C51" s="25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S51" s="27"/>
      <c r="T51" s="27"/>
    </row>
    <row r="52" spans="1:20" s="1" customFormat="1" ht="12" x14ac:dyDescent="0.15">
      <c r="A52" s="24">
        <v>7</v>
      </c>
      <c r="B52" s="25" t="s">
        <v>52</v>
      </c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</row>
    <row r="53" spans="1:20" s="1" customFormat="1" ht="12" x14ac:dyDescent="0.1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</row>
    <row r="54" spans="1:20" s="1" customFormat="1" ht="12" x14ac:dyDescent="0.1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</row>
    <row r="55" spans="1:20" s="1" customFormat="1" ht="12" x14ac:dyDescent="0.1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</row>
    <row r="56" spans="1:20" s="1" customFormat="1" ht="12" x14ac:dyDescent="0.1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</row>
  </sheetData>
  <mergeCells count="81">
    <mergeCell ref="A1:H2"/>
    <mergeCell ref="I1:J1"/>
    <mergeCell ref="K1:M1"/>
    <mergeCell ref="N1:O2"/>
    <mergeCell ref="P1:W2"/>
    <mergeCell ref="I2:J2"/>
    <mergeCell ref="K2:M2"/>
    <mergeCell ref="N4:O5"/>
    <mergeCell ref="V4:W5"/>
    <mergeCell ref="P4:U5"/>
    <mergeCell ref="A3:C3"/>
    <mergeCell ref="D3:M3"/>
    <mergeCell ref="N3:O3"/>
    <mergeCell ref="P3:R3"/>
    <mergeCell ref="S3:W3"/>
    <mergeCell ref="A5:B5"/>
    <mergeCell ref="C5:G5"/>
    <mergeCell ref="H5:I5"/>
    <mergeCell ref="J5:M5"/>
    <mergeCell ref="A4:B4"/>
    <mergeCell ref="C4:G4"/>
    <mergeCell ref="H4:I4"/>
    <mergeCell ref="J4:M4"/>
    <mergeCell ref="A6:R6"/>
    <mergeCell ref="S6:T6"/>
    <mergeCell ref="U6:W6"/>
    <mergeCell ref="A7:A8"/>
    <mergeCell ref="B7:C8"/>
    <mergeCell ref="D7:D8"/>
    <mergeCell ref="E7:F8"/>
    <mergeCell ref="G7:G8"/>
    <mergeCell ref="H7:I8"/>
    <mergeCell ref="J7:J8"/>
    <mergeCell ref="U7:W7"/>
    <mergeCell ref="S8:T9"/>
    <mergeCell ref="U8:W9"/>
    <mergeCell ref="A9:C9"/>
    <mergeCell ref="D9:F9"/>
    <mergeCell ref="G9:I9"/>
    <mergeCell ref="J9:L9"/>
    <mergeCell ref="M9:O9"/>
    <mergeCell ref="P9:R9"/>
    <mergeCell ref="K7:L8"/>
    <mergeCell ref="M7:M8"/>
    <mergeCell ref="N7:O8"/>
    <mergeCell ref="P7:P8"/>
    <mergeCell ref="Q7:R8"/>
    <mergeCell ref="S7:T7"/>
    <mergeCell ref="A12:B12"/>
    <mergeCell ref="C12:E12"/>
    <mergeCell ref="K12:K13"/>
    <mergeCell ref="L12:M13"/>
    <mergeCell ref="A13:B13"/>
    <mergeCell ref="R10:W10"/>
    <mergeCell ref="A11:E11"/>
    <mergeCell ref="H11:J11"/>
    <mergeCell ref="R11:T11"/>
    <mergeCell ref="U11:W11"/>
    <mergeCell ref="A10:C10"/>
    <mergeCell ref="D10:E10"/>
    <mergeCell ref="F10:G11"/>
    <mergeCell ref="H10:I10"/>
    <mergeCell ref="K10:M11"/>
    <mergeCell ref="N10:Q11"/>
    <mergeCell ref="C13:E13"/>
    <mergeCell ref="G13:I13"/>
    <mergeCell ref="G14:O15"/>
    <mergeCell ref="A16:B17"/>
    <mergeCell ref="D16:F16"/>
    <mergeCell ref="G16:O17"/>
    <mergeCell ref="A45:F45"/>
    <mergeCell ref="J45:O45"/>
    <mergeCell ref="S45:W45"/>
    <mergeCell ref="P16:R16"/>
    <mergeCell ref="S17:W18"/>
    <mergeCell ref="A18:C18"/>
    <mergeCell ref="D18:F18"/>
    <mergeCell ref="G18:O18"/>
    <mergeCell ref="A19:K21"/>
    <mergeCell ref="L19:L23"/>
    <mergeCell ref="M19:W23"/>
  </mergeCells>
  <phoneticPr fontId="3" type="noConversion"/>
  <printOptions horizontalCentered="1"/>
  <pageMargins left="0.27559055118110237" right="0.23622047244094491" top="0.15748031496062992" bottom="0.15748031496062992" header="0.15748031496062992" footer="0.15748031496062992"/>
  <pageSetup paperSize="9" scale="95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A86"/>
  <sheetViews>
    <sheetView showGridLines="0" showZeros="0" view="pageBreakPreview" zoomScale="85" zoomScaleNormal="100" zoomScaleSheetLayoutView="85" workbookViewId="0">
      <selection activeCell="Y10" sqref="Y10"/>
    </sheetView>
  </sheetViews>
  <sheetFormatPr defaultRowHeight="13.5" x14ac:dyDescent="0.15"/>
  <cols>
    <col min="1" max="13" width="3.6640625" style="29" customWidth="1"/>
    <col min="14" max="15" width="3.77734375" style="29" customWidth="1"/>
    <col min="16" max="20" width="3.6640625" style="29" customWidth="1"/>
    <col min="21" max="23" width="3.6640625" customWidth="1"/>
  </cols>
  <sheetData>
    <row r="1" spans="1:27" ht="20.100000000000001" customHeight="1" x14ac:dyDescent="0.15">
      <c r="A1" s="428" t="s">
        <v>55</v>
      </c>
      <c r="B1" s="413"/>
      <c r="C1" s="413"/>
      <c r="D1" s="413"/>
      <c r="E1" s="413"/>
      <c r="F1" s="413"/>
      <c r="G1" s="413"/>
      <c r="H1" s="413"/>
      <c r="I1" s="663" t="s">
        <v>196</v>
      </c>
      <c r="J1" s="664"/>
      <c r="K1" s="665" t="s">
        <v>195</v>
      </c>
      <c r="L1" s="665"/>
      <c r="M1" s="666"/>
      <c r="N1" s="409" t="s">
        <v>7</v>
      </c>
      <c r="O1" s="410"/>
      <c r="P1" s="413" t="str">
        <f>sheet1!P1</f>
        <v>000000-00-00-00</v>
      </c>
      <c r="Q1" s="413"/>
      <c r="R1" s="413"/>
      <c r="S1" s="413"/>
      <c r="T1" s="413"/>
      <c r="U1" s="413"/>
      <c r="V1" s="413"/>
      <c r="W1" s="414"/>
    </row>
    <row r="2" spans="1:27" ht="20.100000000000001" customHeight="1" x14ac:dyDescent="0.15">
      <c r="A2" s="429"/>
      <c r="B2" s="415"/>
      <c r="C2" s="415"/>
      <c r="D2" s="415"/>
      <c r="E2" s="415"/>
      <c r="F2" s="415"/>
      <c r="G2" s="415"/>
      <c r="H2" s="415"/>
      <c r="I2" s="667" t="s">
        <v>219</v>
      </c>
      <c r="J2" s="668"/>
      <c r="K2" s="669">
        <f ca="1">TODAY()</f>
        <v>44313</v>
      </c>
      <c r="L2" s="670"/>
      <c r="M2" s="671"/>
      <c r="N2" s="524"/>
      <c r="O2" s="525"/>
      <c r="P2" s="526"/>
      <c r="Q2" s="526"/>
      <c r="R2" s="526"/>
      <c r="S2" s="526"/>
      <c r="T2" s="526"/>
      <c r="U2" s="526"/>
      <c r="V2" s="526"/>
      <c r="W2" s="527"/>
    </row>
    <row r="3" spans="1:27" s="1" customFormat="1" ht="15" customHeight="1" x14ac:dyDescent="0.15">
      <c r="A3" s="440" t="s">
        <v>0</v>
      </c>
      <c r="B3" s="441"/>
      <c r="C3" s="441"/>
      <c r="D3" s="425" t="str">
        <f>sheet1!D3</f>
        <v>지엠비코리아㈜</v>
      </c>
      <c r="E3" s="426"/>
      <c r="F3" s="426"/>
      <c r="G3" s="426"/>
      <c r="H3" s="426"/>
      <c r="I3" s="426"/>
      <c r="J3" s="426"/>
      <c r="K3" s="528"/>
      <c r="L3" s="528"/>
      <c r="M3" s="529"/>
      <c r="N3" s="423" t="s">
        <v>1</v>
      </c>
      <c r="O3" s="423"/>
      <c r="P3" s="530">
        <f>sheet1!P3</f>
        <v>0</v>
      </c>
      <c r="Q3" s="531"/>
      <c r="R3" s="531"/>
      <c r="S3" s="532" t="s">
        <v>171</v>
      </c>
      <c r="T3" s="533"/>
      <c r="U3" s="533"/>
      <c r="V3" s="533"/>
      <c r="W3" s="534"/>
    </row>
    <row r="4" spans="1:27" s="1" customFormat="1" ht="24.95" customHeight="1" x14ac:dyDescent="0.15">
      <c r="A4" s="422" t="s">
        <v>2</v>
      </c>
      <c r="B4" s="423"/>
      <c r="C4" s="424" t="str">
        <f>sheet1!C4</f>
        <v>OUTTER RING</v>
      </c>
      <c r="D4" s="424"/>
      <c r="E4" s="424"/>
      <c r="F4" s="424"/>
      <c r="G4" s="424"/>
      <c r="H4" s="423" t="s">
        <v>3</v>
      </c>
      <c r="I4" s="423"/>
      <c r="J4" s="423" t="str">
        <f>sheet1!J4</f>
        <v>SUJ2</v>
      </c>
      <c r="K4" s="423"/>
      <c r="L4" s="423"/>
      <c r="M4" s="423"/>
      <c r="N4" s="447" t="s">
        <v>4</v>
      </c>
      <c r="O4" s="195"/>
      <c r="P4" s="454">
        <f>sheet1!P4</f>
        <v>0</v>
      </c>
      <c r="Q4" s="450"/>
      <c r="R4" s="450"/>
      <c r="S4" s="450"/>
      <c r="T4" s="450"/>
      <c r="U4" s="450"/>
      <c r="V4" s="450"/>
      <c r="W4" s="451"/>
      <c r="Y4" s="1" t="s">
        <v>72</v>
      </c>
      <c r="Z4" s="1" t="s">
        <v>73</v>
      </c>
      <c r="AA4" s="1" t="s">
        <v>74</v>
      </c>
    </row>
    <row r="5" spans="1:27" s="1" customFormat="1" ht="24.95" customHeight="1" thickBot="1" x14ac:dyDescent="0.2">
      <c r="A5" s="417" t="s">
        <v>5</v>
      </c>
      <c r="B5" s="418"/>
      <c r="C5" s="419" t="str">
        <f>sheet1!C5</f>
        <v>D-ENG[복열-VE사양]</v>
      </c>
      <c r="D5" s="419"/>
      <c r="E5" s="419"/>
      <c r="F5" s="419"/>
      <c r="G5" s="419"/>
      <c r="H5" s="420" t="s">
        <v>6</v>
      </c>
      <c r="I5" s="420"/>
      <c r="J5" s="421" t="str">
        <f>sheet1!J5</f>
        <v>소입공정(Q.T)</v>
      </c>
      <c r="K5" s="421"/>
      <c r="L5" s="421"/>
      <c r="M5" s="421"/>
      <c r="N5" s="448"/>
      <c r="O5" s="449"/>
      <c r="P5" s="455"/>
      <c r="Q5" s="452"/>
      <c r="R5" s="452"/>
      <c r="S5" s="452"/>
      <c r="T5" s="452"/>
      <c r="U5" s="452"/>
      <c r="V5" s="452"/>
      <c r="W5" s="453"/>
      <c r="Z5" s="1" t="str">
        <f>MID(Y5,9,1)</f>
        <v/>
      </c>
      <c r="AA5" s="1" t="e">
        <f>Z5*1</f>
        <v>#VALUE!</v>
      </c>
    </row>
    <row r="6" spans="1:27" s="1" customFormat="1" ht="16.5" customHeight="1" x14ac:dyDescent="0.15">
      <c r="A6" s="225" t="s">
        <v>10</v>
      </c>
      <c r="B6" s="226"/>
      <c r="C6" s="226"/>
      <c r="D6" s="227" t="s">
        <v>10</v>
      </c>
      <c r="E6" s="226"/>
      <c r="F6" s="228"/>
      <c r="G6" s="226" t="s">
        <v>10</v>
      </c>
      <c r="H6" s="226"/>
      <c r="I6" s="226"/>
      <c r="J6" s="227" t="s">
        <v>10</v>
      </c>
      <c r="K6" s="226"/>
      <c r="L6" s="228"/>
      <c r="M6" s="226" t="s">
        <v>10</v>
      </c>
      <c r="N6" s="226"/>
      <c r="O6" s="226"/>
      <c r="P6" s="227" t="s">
        <v>10</v>
      </c>
      <c r="Q6" s="226"/>
      <c r="R6" s="255"/>
      <c r="S6" s="170" t="s">
        <v>190</v>
      </c>
      <c r="T6" s="171"/>
      <c r="U6" s="172">
        <f>sheet1!U6</f>
        <v>0</v>
      </c>
      <c r="V6" s="173"/>
      <c r="W6" s="174"/>
    </row>
    <row r="7" spans="1:27" s="1" customFormat="1" ht="16.5" customHeight="1" x14ac:dyDescent="0.15">
      <c r="A7" s="247" t="s">
        <v>225</v>
      </c>
      <c r="B7" s="211" t="s">
        <v>226</v>
      </c>
      <c r="C7" s="249"/>
      <c r="D7" s="209" t="s">
        <v>227</v>
      </c>
      <c r="E7" s="211" t="s">
        <v>81</v>
      </c>
      <c r="F7" s="251"/>
      <c r="G7" s="735" t="s">
        <v>228</v>
      </c>
      <c r="H7" s="211" t="s">
        <v>229</v>
      </c>
      <c r="I7" s="249"/>
      <c r="J7" s="209" t="s">
        <v>230</v>
      </c>
      <c r="K7" s="211" t="s">
        <v>85</v>
      </c>
      <c r="L7" s="251"/>
      <c r="M7" s="253" t="s">
        <v>231</v>
      </c>
      <c r="N7" s="211" t="s">
        <v>232</v>
      </c>
      <c r="O7" s="249"/>
      <c r="P7" s="209" t="s">
        <v>233</v>
      </c>
      <c r="Q7" s="211" t="s">
        <v>234</v>
      </c>
      <c r="R7" s="212"/>
      <c r="S7" s="194" t="s">
        <v>178</v>
      </c>
      <c r="T7" s="195"/>
      <c r="U7" s="196">
        <f>sheet1!U7</f>
        <v>0</v>
      </c>
      <c r="V7" s="197"/>
      <c r="W7" s="198"/>
    </row>
    <row r="8" spans="1:27" s="1" customFormat="1" ht="16.5" customHeight="1" x14ac:dyDescent="0.15">
      <c r="A8" s="248"/>
      <c r="B8" s="213"/>
      <c r="C8" s="250"/>
      <c r="D8" s="210"/>
      <c r="E8" s="213"/>
      <c r="F8" s="252"/>
      <c r="G8" s="254"/>
      <c r="H8" s="213"/>
      <c r="I8" s="250"/>
      <c r="J8" s="210"/>
      <c r="K8" s="213"/>
      <c r="L8" s="252"/>
      <c r="M8" s="254"/>
      <c r="N8" s="213"/>
      <c r="O8" s="250"/>
      <c r="P8" s="210"/>
      <c r="Q8" s="213"/>
      <c r="R8" s="214"/>
      <c r="S8" s="199" t="s">
        <v>179</v>
      </c>
      <c r="T8" s="200"/>
      <c r="U8" s="203">
        <f>sheet1!U8</f>
        <v>0</v>
      </c>
      <c r="V8" s="204"/>
      <c r="W8" s="205"/>
    </row>
    <row r="9" spans="1:27" s="1" customFormat="1" ht="16.5" customHeight="1" thickBot="1" x14ac:dyDescent="0.2">
      <c r="A9" s="729" t="s">
        <v>212</v>
      </c>
      <c r="B9" s="730"/>
      <c r="C9" s="730"/>
      <c r="D9" s="730"/>
      <c r="E9" s="730"/>
      <c r="F9" s="731" t="s">
        <v>224</v>
      </c>
      <c r="G9" s="732"/>
      <c r="H9" s="732"/>
      <c r="I9" s="732"/>
      <c r="J9" s="732"/>
      <c r="K9" s="732"/>
      <c r="L9" s="733"/>
      <c r="M9" s="731" t="s">
        <v>214</v>
      </c>
      <c r="N9" s="732"/>
      <c r="O9" s="732"/>
      <c r="P9" s="732"/>
      <c r="Q9" s="732"/>
      <c r="R9" s="734"/>
      <c r="S9" s="201"/>
      <c r="T9" s="202"/>
      <c r="U9" s="206"/>
      <c r="V9" s="207"/>
      <c r="W9" s="208"/>
    </row>
    <row r="10" spans="1:27" s="2" customFormat="1" ht="15" customHeight="1" x14ac:dyDescent="0.15">
      <c r="A10" s="386" t="s">
        <v>11</v>
      </c>
      <c r="B10" s="387"/>
      <c r="C10" s="387"/>
      <c r="D10" s="388" t="str">
        <f>sheet1!D10</f>
        <v>DS10-H-01</v>
      </c>
      <c r="E10" s="388"/>
      <c r="F10" s="242" t="s">
        <v>216</v>
      </c>
      <c r="G10" s="243"/>
      <c r="H10" s="245" t="s">
        <v>180</v>
      </c>
      <c r="I10" s="246"/>
      <c r="J10" s="72"/>
      <c r="K10" s="239" t="s">
        <v>217</v>
      </c>
      <c r="L10" s="240"/>
      <c r="M10" s="240"/>
      <c r="N10" s="178" t="s">
        <v>215</v>
      </c>
      <c r="O10" s="179"/>
      <c r="P10" s="179"/>
      <c r="Q10" s="180"/>
      <c r="R10" s="184" t="s">
        <v>192</v>
      </c>
      <c r="S10" s="185"/>
      <c r="T10" s="185"/>
      <c r="U10" s="185"/>
      <c r="V10" s="185"/>
      <c r="W10" s="186"/>
    </row>
    <row r="11" spans="1:27" s="2" customFormat="1" ht="24" customHeight="1" thickBot="1" x14ac:dyDescent="0.2">
      <c r="A11" s="235" t="s">
        <v>218</v>
      </c>
      <c r="B11" s="236"/>
      <c r="C11" s="236"/>
      <c r="D11" s="236"/>
      <c r="E11" s="231"/>
      <c r="F11" s="244"/>
      <c r="G11" s="244"/>
      <c r="H11" s="237"/>
      <c r="I11" s="220"/>
      <c r="J11" s="238"/>
      <c r="K11" s="241"/>
      <c r="L11" s="241"/>
      <c r="M11" s="241"/>
      <c r="N11" s="181"/>
      <c r="O11" s="182"/>
      <c r="P11" s="182"/>
      <c r="Q11" s="183"/>
      <c r="R11" s="187" t="s">
        <v>193</v>
      </c>
      <c r="S11" s="188"/>
      <c r="T11" s="188"/>
      <c r="U11" s="188" t="s">
        <v>194</v>
      </c>
      <c r="V11" s="188"/>
      <c r="W11" s="189"/>
    </row>
    <row r="12" spans="1:27" s="2" customFormat="1" ht="9.9499999999999993" customHeight="1" x14ac:dyDescent="0.15">
      <c r="A12" s="79"/>
      <c r="B12" s="386"/>
      <c r="C12" s="401"/>
      <c r="D12" s="83"/>
      <c r="E12" s="386"/>
      <c r="F12" s="401"/>
      <c r="G12" s="83"/>
      <c r="H12" s="3"/>
      <c r="I12" s="386"/>
      <c r="J12" s="401"/>
      <c r="K12" s="368"/>
      <c r="L12" s="386"/>
      <c r="M12" s="401"/>
      <c r="N12" s="3"/>
      <c r="O12" s="386"/>
      <c r="P12" s="401"/>
      <c r="Q12" s="4"/>
      <c r="R12" s="5"/>
      <c r="S12" s="386" t="s">
        <v>12</v>
      </c>
      <c r="T12" s="538"/>
      <c r="U12" s="535" t="str">
        <f>sheet1!U12</f>
        <v>100℃±10℃</v>
      </c>
      <c r="V12" s="536"/>
      <c r="W12" s="537"/>
    </row>
    <row r="13" spans="1:27" s="2" customFormat="1" ht="9.9499999999999993" customHeight="1" thickBot="1" x14ac:dyDescent="0.2">
      <c r="A13" s="79"/>
      <c r="B13" s="369"/>
      <c r="C13" s="370"/>
      <c r="D13" s="83"/>
      <c r="E13" s="369"/>
      <c r="F13" s="370"/>
      <c r="G13" s="83"/>
      <c r="H13" s="3"/>
      <c r="I13" s="369"/>
      <c r="J13" s="370"/>
      <c r="K13" s="368"/>
      <c r="L13" s="369"/>
      <c r="M13" s="370"/>
      <c r="N13" s="3"/>
      <c r="O13" s="369"/>
      <c r="P13" s="370"/>
      <c r="Q13" s="4"/>
      <c r="R13" s="5"/>
      <c r="S13" s="192"/>
      <c r="T13" s="193"/>
      <c r="U13" s="222"/>
      <c r="V13" s="223"/>
      <c r="W13" s="224"/>
    </row>
    <row r="14" spans="1:27" s="2" customFormat="1" ht="15" customHeight="1" x14ac:dyDescent="0.15">
      <c r="A14" s="79"/>
      <c r="B14" s="82"/>
      <c r="C14" s="83"/>
      <c r="D14" s="83"/>
      <c r="E14" s="83"/>
      <c r="F14" s="4"/>
      <c r="G14" s="5"/>
      <c r="H14" s="5"/>
      <c r="I14" s="81"/>
      <c r="J14" s="83"/>
      <c r="K14" s="83"/>
      <c r="L14" s="81"/>
      <c r="M14" s="83"/>
      <c r="N14" s="83"/>
      <c r="O14" s="82"/>
      <c r="P14" s="83"/>
      <c r="Q14" s="83"/>
      <c r="R14" s="83"/>
      <c r="S14" s="215" t="s">
        <v>13</v>
      </c>
      <c r="T14" s="216"/>
      <c r="U14" s="217" t="str">
        <f>sheet1!U14</f>
        <v>40M</v>
      </c>
      <c r="V14" s="218"/>
      <c r="W14" s="219"/>
    </row>
    <row r="15" spans="1:27" s="2" customFormat="1" ht="20.100000000000001" customHeight="1" thickBot="1" x14ac:dyDescent="0.2">
      <c r="A15" s="79"/>
      <c r="B15" s="81"/>
      <c r="C15" s="83"/>
      <c r="D15" s="83"/>
      <c r="E15" s="83"/>
      <c r="F15" s="6"/>
      <c r="G15" s="220" t="str">
        <f>sheet1!G15</f>
        <v>850℃±10℃</v>
      </c>
      <c r="H15" s="220"/>
      <c r="I15" s="220"/>
      <c r="J15" s="220"/>
      <c r="K15" s="220"/>
      <c r="L15" s="220"/>
      <c r="M15" s="220"/>
      <c r="N15" s="220"/>
      <c r="O15" s="221"/>
      <c r="P15" s="83"/>
      <c r="Q15" s="83"/>
      <c r="R15" s="83"/>
      <c r="S15" s="190" t="s">
        <v>14</v>
      </c>
      <c r="T15" s="191"/>
      <c r="U15" s="406" t="str">
        <f>sheet1!U15</f>
        <v>60Hz±5Hz</v>
      </c>
      <c r="V15" s="407"/>
      <c r="W15" s="408"/>
    </row>
    <row r="16" spans="1:27" s="2" customFormat="1" ht="20.100000000000001" customHeight="1" thickBot="1" x14ac:dyDescent="0.2">
      <c r="A16" s="392" t="s">
        <v>15</v>
      </c>
      <c r="B16" s="393"/>
      <c r="C16" s="47"/>
      <c r="D16" s="398"/>
      <c r="E16" s="398"/>
      <c r="F16" s="378"/>
      <c r="G16" s="387" t="s">
        <v>16</v>
      </c>
      <c r="H16" s="387"/>
      <c r="I16" s="387"/>
      <c r="J16" s="386" t="s">
        <v>17</v>
      </c>
      <c r="K16" s="387"/>
      <c r="L16" s="401"/>
      <c r="M16" s="386" t="s">
        <v>18</v>
      </c>
      <c r="N16" s="387"/>
      <c r="O16" s="387"/>
      <c r="P16" s="402"/>
      <c r="Q16" s="403"/>
      <c r="R16" s="404"/>
      <c r="S16" s="192"/>
      <c r="T16" s="193"/>
      <c r="U16" s="222"/>
      <c r="V16" s="223"/>
      <c r="W16" s="224"/>
    </row>
    <row r="17" spans="1:25" s="2" customFormat="1" ht="17.25" customHeight="1" x14ac:dyDescent="0.15">
      <c r="A17" s="394"/>
      <c r="B17" s="395"/>
      <c r="C17" s="83"/>
      <c r="D17" s="79"/>
      <c r="E17" s="83"/>
      <c r="F17" s="81"/>
      <c r="G17" s="83"/>
      <c r="H17" s="83"/>
      <c r="I17" s="83"/>
      <c r="J17" s="79"/>
      <c r="K17" s="83"/>
      <c r="L17" s="81"/>
      <c r="M17" s="7"/>
      <c r="N17" s="7"/>
      <c r="O17" s="7"/>
      <c r="P17" s="405"/>
      <c r="Q17" s="403"/>
      <c r="R17" s="403"/>
      <c r="S17" s="399" t="s">
        <v>19</v>
      </c>
      <c r="T17" s="399"/>
      <c r="U17" s="399"/>
      <c r="V17" s="399"/>
      <c r="W17" s="400"/>
    </row>
    <row r="18" spans="1:25" s="2" customFormat="1" ht="17.25" customHeight="1" x14ac:dyDescent="0.15">
      <c r="A18" s="396"/>
      <c r="B18" s="397"/>
      <c r="C18" s="5"/>
      <c r="D18" s="201" t="s">
        <v>20</v>
      </c>
      <c r="E18" s="352"/>
      <c r="F18" s="353"/>
      <c r="G18" s="352" t="s">
        <v>21</v>
      </c>
      <c r="H18" s="352"/>
      <c r="I18" s="352"/>
      <c r="J18" s="201" t="s">
        <v>22</v>
      </c>
      <c r="K18" s="352"/>
      <c r="L18" s="353"/>
      <c r="M18" s="201" t="s">
        <v>23</v>
      </c>
      <c r="N18" s="352"/>
      <c r="O18" s="352"/>
      <c r="P18" s="8"/>
      <c r="Q18" s="9"/>
      <c r="R18" s="5"/>
      <c r="S18" s="389"/>
      <c r="T18" s="390"/>
      <c r="U18" s="390"/>
      <c r="V18" s="390"/>
      <c r="W18" s="391"/>
    </row>
    <row r="19" spans="1:25" s="2" customFormat="1" ht="17.25" customHeight="1" x14ac:dyDescent="0.15">
      <c r="A19" s="501" t="s">
        <v>24</v>
      </c>
      <c r="B19" s="502"/>
      <c r="C19" s="376"/>
      <c r="D19" s="497" t="s">
        <v>25</v>
      </c>
      <c r="E19" s="271"/>
      <c r="F19" s="308"/>
      <c r="G19" s="271" t="str">
        <f>sheet1!G19</f>
        <v>30M</v>
      </c>
      <c r="H19" s="271"/>
      <c r="I19" s="271"/>
      <c r="J19" s="497" t="str">
        <f>sheet1!J19</f>
        <v>30M</v>
      </c>
      <c r="K19" s="271"/>
      <c r="L19" s="308"/>
      <c r="M19" s="497" t="str">
        <f>sheet1!M19</f>
        <v>30M</v>
      </c>
      <c r="N19" s="271"/>
      <c r="O19" s="271"/>
      <c r="P19" s="8"/>
      <c r="Q19" s="9"/>
      <c r="R19" s="5"/>
      <c r="S19" s="377" t="s">
        <v>129</v>
      </c>
      <c r="T19" s="294"/>
      <c r="U19" s="294"/>
      <c r="V19" s="294"/>
      <c r="W19" s="295"/>
    </row>
    <row r="20" spans="1:25" s="2" customFormat="1" ht="17.25" customHeight="1" x14ac:dyDescent="0.15">
      <c r="A20" s="374" t="s">
        <v>26</v>
      </c>
      <c r="B20" s="498"/>
      <c r="C20" s="499"/>
      <c r="D20" s="471" t="s">
        <v>30</v>
      </c>
      <c r="E20" s="472"/>
      <c r="F20" s="472"/>
      <c r="G20" s="464" t="s">
        <v>30</v>
      </c>
      <c r="H20" s="465"/>
      <c r="I20" s="465"/>
      <c r="J20" s="465"/>
      <c r="K20" s="465"/>
      <c r="L20" s="465"/>
      <c r="M20" s="466" t="s">
        <v>30</v>
      </c>
      <c r="N20" s="467"/>
      <c r="O20" s="467"/>
      <c r="P20" s="8"/>
      <c r="Q20" s="9"/>
      <c r="R20" s="80"/>
      <c r="S20" s="456" t="s">
        <v>1</v>
      </c>
      <c r="T20" s="457"/>
      <c r="U20" s="379" t="s">
        <v>28</v>
      </c>
      <c r="V20" s="380"/>
      <c r="W20" s="381"/>
    </row>
    <row r="21" spans="1:25" s="2" customFormat="1" ht="17.25" customHeight="1" x14ac:dyDescent="0.15">
      <c r="A21" s="374" t="s">
        <v>29</v>
      </c>
      <c r="B21" s="375"/>
      <c r="C21" s="376"/>
      <c r="D21" s="471" t="str">
        <f>sheet1!D21</f>
        <v>CUT</v>
      </c>
      <c r="E21" s="472"/>
      <c r="F21" s="472"/>
      <c r="G21" s="464" t="str">
        <f>sheet1!G21</f>
        <v>CUT</v>
      </c>
      <c r="H21" s="465"/>
      <c r="I21" s="465"/>
      <c r="J21" s="465"/>
      <c r="K21" s="465"/>
      <c r="L21" s="465"/>
      <c r="M21" s="466" t="str">
        <f>sheet1!M21</f>
        <v>CUT</v>
      </c>
      <c r="N21" s="467"/>
      <c r="O21" s="467"/>
      <c r="P21" s="10"/>
      <c r="Q21" s="11"/>
      <c r="R21" s="80"/>
      <c r="S21" s="382" t="s">
        <v>31</v>
      </c>
      <c r="T21" s="383"/>
      <c r="U21" s="382"/>
      <c r="V21" s="384"/>
      <c r="W21" s="385"/>
    </row>
    <row r="22" spans="1:25" s="2" customFormat="1" ht="17.25" customHeight="1" thickBot="1" x14ac:dyDescent="0.2">
      <c r="A22" s="374" t="s">
        <v>32</v>
      </c>
      <c r="B22" s="375"/>
      <c r="C22" s="376"/>
      <c r="D22" s="471" t="s">
        <v>33</v>
      </c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12"/>
      <c r="Q22" s="13"/>
      <c r="R22" s="14"/>
      <c r="S22" s="15"/>
      <c r="T22" s="269" t="str">
        <f>sheet1!T22</f>
        <v>170℃±5℃</v>
      </c>
      <c r="U22" s="269"/>
      <c r="V22" s="269"/>
      <c r="W22" s="16"/>
    </row>
    <row r="23" spans="1:25" s="2" customFormat="1" ht="17.25" customHeight="1" thickBot="1" x14ac:dyDescent="0.2">
      <c r="A23" s="374" t="s">
        <v>34</v>
      </c>
      <c r="B23" s="375"/>
      <c r="C23" s="376"/>
      <c r="D23" s="229" t="s">
        <v>239</v>
      </c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8"/>
      <c r="Q23" s="9"/>
      <c r="R23" s="80"/>
      <c r="S23" s="378"/>
      <c r="T23" s="17"/>
      <c r="U23" s="18"/>
      <c r="V23" s="19"/>
      <c r="W23" s="351"/>
    </row>
    <row r="24" spans="1:25" s="2" customFormat="1" ht="17.25" customHeight="1" x14ac:dyDescent="0.15">
      <c r="A24" s="33" t="s">
        <v>36</v>
      </c>
      <c r="B24" s="34"/>
      <c r="C24" s="34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378"/>
      <c r="T24" s="201" t="str">
        <f>sheet1!T24</f>
        <v>1Hr30M</v>
      </c>
      <c r="U24" s="352"/>
      <c r="V24" s="353"/>
      <c r="W24" s="351"/>
    </row>
    <row r="25" spans="1:25" s="2" customFormat="1" ht="16.5" customHeight="1" x14ac:dyDescent="0.15">
      <c r="A25" s="458" t="s">
        <v>235</v>
      </c>
      <c r="B25" s="357"/>
      <c r="C25" s="35" t="s">
        <v>90</v>
      </c>
      <c r="D25" s="364" t="s">
        <v>91</v>
      </c>
      <c r="E25" s="365"/>
      <c r="F25" s="365"/>
      <c r="G25" s="356" t="s">
        <v>236</v>
      </c>
      <c r="H25" s="357"/>
      <c r="I25" s="364" t="s">
        <v>91</v>
      </c>
      <c r="J25" s="365"/>
      <c r="K25" s="480"/>
      <c r="L25" s="475" t="s">
        <v>92</v>
      </c>
      <c r="M25" s="36" t="s">
        <v>93</v>
      </c>
      <c r="N25" s="722" t="s">
        <v>237</v>
      </c>
      <c r="O25" s="723"/>
      <c r="P25" s="723"/>
      <c r="Q25" s="723"/>
      <c r="R25" s="723"/>
      <c r="S25" s="723"/>
      <c r="T25" s="723"/>
      <c r="U25" s="723"/>
      <c r="V25" s="723"/>
      <c r="W25" s="724"/>
    </row>
    <row r="26" spans="1:25" s="21" customFormat="1" ht="16.5" customHeight="1" x14ac:dyDescent="0.15">
      <c r="A26" s="459"/>
      <c r="B26" s="359"/>
      <c r="C26" s="20" t="s">
        <v>173</v>
      </c>
      <c r="D26" s="366" t="s">
        <v>176</v>
      </c>
      <c r="E26" s="367"/>
      <c r="F26" s="367"/>
      <c r="G26" s="358"/>
      <c r="H26" s="359"/>
      <c r="I26" s="366" t="s">
        <v>176</v>
      </c>
      <c r="J26" s="367"/>
      <c r="K26" s="367"/>
      <c r="L26" s="476"/>
      <c r="M26" s="37" t="s">
        <v>94</v>
      </c>
      <c r="N26" s="725" t="s">
        <v>240</v>
      </c>
      <c r="O26" s="595"/>
      <c r="P26" s="595"/>
      <c r="Q26" s="595"/>
      <c r="R26" s="595"/>
      <c r="S26" s="595"/>
      <c r="T26" s="595"/>
      <c r="U26" s="595"/>
      <c r="V26" s="595"/>
      <c r="W26" s="726"/>
    </row>
    <row r="27" spans="1:25" s="21" customFormat="1" ht="16.5" customHeight="1" x14ac:dyDescent="0.15">
      <c r="A27" s="460"/>
      <c r="B27" s="361"/>
      <c r="C27" s="38" t="s">
        <v>174</v>
      </c>
      <c r="D27" s="354" t="s">
        <v>175</v>
      </c>
      <c r="E27" s="355"/>
      <c r="F27" s="355"/>
      <c r="G27" s="360"/>
      <c r="H27" s="361"/>
      <c r="I27" s="354" t="s">
        <v>175</v>
      </c>
      <c r="J27" s="355"/>
      <c r="K27" s="355"/>
      <c r="L27" s="477"/>
      <c r="M27" s="39" t="s">
        <v>95</v>
      </c>
      <c r="N27" s="725"/>
      <c r="O27" s="595"/>
      <c r="P27" s="595"/>
      <c r="Q27" s="595"/>
      <c r="R27" s="595"/>
      <c r="S27" s="595"/>
      <c r="T27" s="595"/>
      <c r="U27" s="595"/>
      <c r="V27" s="595"/>
      <c r="W27" s="726"/>
    </row>
    <row r="28" spans="1:25" s="21" customFormat="1" ht="16.5" customHeight="1" x14ac:dyDescent="0.15">
      <c r="A28" s="736" t="s">
        <v>222</v>
      </c>
      <c r="B28" s="737"/>
      <c r="C28" s="737"/>
      <c r="D28" s="737"/>
      <c r="E28" s="737"/>
      <c r="F28" s="737"/>
      <c r="G28" s="737"/>
      <c r="H28" s="737"/>
      <c r="I28" s="737"/>
      <c r="J28" s="737"/>
      <c r="K28" s="737"/>
      <c r="L28" s="737"/>
      <c r="M28" s="738"/>
      <c r="N28" s="725"/>
      <c r="O28" s="595"/>
      <c r="P28" s="595"/>
      <c r="Q28" s="595"/>
      <c r="R28" s="595"/>
      <c r="S28" s="595"/>
      <c r="T28" s="595"/>
      <c r="U28" s="595"/>
      <c r="V28" s="595"/>
      <c r="W28" s="726"/>
    </row>
    <row r="29" spans="1:25" s="21" customFormat="1" ht="17.100000000000001" customHeight="1" x14ac:dyDescent="0.15">
      <c r="A29" s="739"/>
      <c r="B29" s="740"/>
      <c r="C29" s="740"/>
      <c r="D29" s="740"/>
      <c r="E29" s="740"/>
      <c r="F29" s="740"/>
      <c r="G29" s="740"/>
      <c r="H29" s="740"/>
      <c r="I29" s="740"/>
      <c r="J29" s="740"/>
      <c r="K29" s="740"/>
      <c r="L29" s="740"/>
      <c r="M29" s="741"/>
      <c r="N29" s="725"/>
      <c r="O29" s="595"/>
      <c r="P29" s="595"/>
      <c r="Q29" s="595"/>
      <c r="R29" s="595"/>
      <c r="S29" s="595"/>
      <c r="T29" s="595"/>
      <c r="U29" s="595"/>
      <c r="V29" s="595"/>
      <c r="W29" s="726"/>
    </row>
    <row r="30" spans="1:25" s="21" customFormat="1" ht="17.100000000000001" customHeight="1" x14ac:dyDescent="0.15">
      <c r="A30" s="594" t="s">
        <v>242</v>
      </c>
      <c r="B30" s="595"/>
      <c r="C30" s="595"/>
      <c r="D30" s="595"/>
      <c r="E30" s="595"/>
      <c r="F30" s="595"/>
      <c r="G30" s="595"/>
      <c r="H30" s="595"/>
      <c r="I30" s="595"/>
      <c r="J30" s="595"/>
      <c r="K30" s="595"/>
      <c r="L30" s="595"/>
      <c r="M30" s="595"/>
      <c r="N30" s="725"/>
      <c r="O30" s="595"/>
      <c r="P30" s="595"/>
      <c r="Q30" s="595"/>
      <c r="R30" s="595"/>
      <c r="S30" s="595"/>
      <c r="T30" s="595"/>
      <c r="U30" s="595"/>
      <c r="V30" s="595"/>
      <c r="W30" s="726"/>
    </row>
    <row r="31" spans="1:25" s="21" customFormat="1" ht="17.100000000000001" customHeight="1" x14ac:dyDescent="0.15">
      <c r="A31" s="594"/>
      <c r="B31" s="595"/>
      <c r="C31" s="595"/>
      <c r="D31" s="595"/>
      <c r="E31" s="595"/>
      <c r="F31" s="595"/>
      <c r="G31" s="595"/>
      <c r="H31" s="595"/>
      <c r="I31" s="595"/>
      <c r="J31" s="595"/>
      <c r="K31" s="595"/>
      <c r="L31" s="595"/>
      <c r="M31" s="595"/>
      <c r="N31" s="727"/>
      <c r="O31" s="598"/>
      <c r="P31" s="598"/>
      <c r="Q31" s="598"/>
      <c r="R31" s="598"/>
      <c r="S31" s="598"/>
      <c r="T31" s="598"/>
      <c r="U31" s="598"/>
      <c r="V31" s="598"/>
      <c r="W31" s="728"/>
    </row>
    <row r="32" spans="1:25" s="21" customFormat="1" ht="17.100000000000001" customHeight="1" x14ac:dyDescent="0.15">
      <c r="A32" s="594"/>
      <c r="B32" s="595"/>
      <c r="C32" s="595"/>
      <c r="D32" s="595"/>
      <c r="E32" s="595"/>
      <c r="F32" s="595"/>
      <c r="G32" s="595"/>
      <c r="H32" s="595"/>
      <c r="I32" s="595"/>
      <c r="J32" s="595"/>
      <c r="K32" s="595"/>
      <c r="L32" s="595"/>
      <c r="M32" s="595"/>
      <c r="N32" s="377" t="s">
        <v>267</v>
      </c>
      <c r="O32" s="294"/>
      <c r="P32" s="294"/>
      <c r="Q32" s="294"/>
      <c r="R32" s="294"/>
      <c r="S32" s="294"/>
      <c r="T32" s="294"/>
      <c r="U32" s="294"/>
      <c r="V32" s="294"/>
      <c r="W32" s="295"/>
      <c r="Y32" s="32"/>
    </row>
    <row r="33" spans="1:23" s="21" customFormat="1" ht="17.100000000000001" customHeight="1" x14ac:dyDescent="0.15">
      <c r="A33" s="594"/>
      <c r="B33" s="595"/>
      <c r="C33" s="595"/>
      <c r="D33" s="595"/>
      <c r="E33" s="595"/>
      <c r="F33" s="595"/>
      <c r="G33" s="595"/>
      <c r="H33" s="595"/>
      <c r="I33" s="595"/>
      <c r="J33" s="595"/>
      <c r="K33" s="595"/>
      <c r="L33" s="595"/>
      <c r="M33" s="595"/>
      <c r="N33" s="111"/>
      <c r="O33" s="112"/>
      <c r="P33" s="112"/>
      <c r="Q33" s="112"/>
      <c r="R33" s="112"/>
      <c r="S33" s="112"/>
      <c r="T33" s="112"/>
      <c r="U33" s="112"/>
      <c r="V33" s="112"/>
      <c r="W33" s="113"/>
    </row>
    <row r="34" spans="1:23" s="21" customFormat="1" ht="17.100000000000001" customHeight="1" x14ac:dyDescent="0.15">
      <c r="A34" s="594"/>
      <c r="B34" s="595"/>
      <c r="C34" s="595"/>
      <c r="D34" s="595"/>
      <c r="E34" s="595"/>
      <c r="F34" s="595"/>
      <c r="G34" s="595"/>
      <c r="H34" s="595"/>
      <c r="I34" s="595"/>
      <c r="J34" s="595"/>
      <c r="K34" s="595"/>
      <c r="L34" s="595"/>
      <c r="M34" s="595"/>
      <c r="N34" s="114"/>
      <c r="O34" s="9"/>
      <c r="P34" s="9"/>
      <c r="Q34" s="9"/>
      <c r="R34" s="9"/>
      <c r="S34" s="9"/>
      <c r="T34" s="9"/>
      <c r="U34" s="9"/>
      <c r="V34" s="9"/>
      <c r="W34" s="115"/>
    </row>
    <row r="35" spans="1:23" s="21" customFormat="1" ht="16.5" customHeight="1" x14ac:dyDescent="0.15">
      <c r="A35" s="709" t="s">
        <v>238</v>
      </c>
      <c r="B35" s="710"/>
      <c r="C35" s="710"/>
      <c r="D35" s="710"/>
      <c r="E35" s="710"/>
      <c r="F35" s="710"/>
      <c r="G35" s="710"/>
      <c r="H35" s="710"/>
      <c r="I35" s="710"/>
      <c r="J35" s="710"/>
      <c r="K35" s="710"/>
      <c r="L35" s="710"/>
      <c r="M35" s="710"/>
      <c r="N35" s="114"/>
      <c r="O35" s="9"/>
      <c r="P35" s="9"/>
      <c r="Q35" s="9"/>
      <c r="R35" s="9"/>
      <c r="S35" s="9"/>
      <c r="T35" s="9"/>
      <c r="U35" s="9"/>
      <c r="V35" s="9"/>
      <c r="W35" s="115"/>
    </row>
    <row r="36" spans="1:23" s="21" customFormat="1" ht="17.100000000000001" customHeight="1" x14ac:dyDescent="0.15">
      <c r="A36" s="89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114"/>
      <c r="O36" s="9"/>
      <c r="P36" s="9"/>
      <c r="Q36" s="9"/>
      <c r="R36" s="9"/>
      <c r="S36" s="9"/>
      <c r="T36" s="9"/>
      <c r="U36" s="9"/>
      <c r="V36" s="9"/>
      <c r="W36" s="115"/>
    </row>
    <row r="37" spans="1:23" s="21" customFormat="1" ht="17.100000000000001" customHeight="1" x14ac:dyDescent="0.15">
      <c r="A37" s="688"/>
      <c r="B37" s="689"/>
      <c r="C37" s="689"/>
      <c r="D37" s="689"/>
      <c r="E37" s="689"/>
      <c r="F37" s="689"/>
      <c r="G37" s="689"/>
      <c r="H37" s="689"/>
      <c r="I37" s="689"/>
      <c r="J37" s="689"/>
      <c r="K37" s="689"/>
      <c r="L37" s="689"/>
      <c r="M37" s="689"/>
      <c r="N37" s="114"/>
      <c r="O37" s="9"/>
      <c r="P37" s="9"/>
      <c r="Q37" s="9"/>
      <c r="R37" s="9"/>
      <c r="S37" s="9"/>
      <c r="T37" s="9"/>
      <c r="U37" s="9"/>
      <c r="V37" s="9"/>
      <c r="W37" s="115"/>
    </row>
    <row r="38" spans="1:23" s="21" customFormat="1" ht="15" customHeight="1" x14ac:dyDescent="0.15">
      <c r="A38" s="688"/>
      <c r="B38" s="689"/>
      <c r="C38" s="689"/>
      <c r="D38" s="689"/>
      <c r="E38" s="689"/>
      <c r="F38" s="689"/>
      <c r="G38" s="689"/>
      <c r="H38" s="689"/>
      <c r="I38" s="689"/>
      <c r="J38" s="689"/>
      <c r="K38" s="689"/>
      <c r="L38" s="689"/>
      <c r="M38" s="689"/>
      <c r="N38" s="114"/>
      <c r="O38" s="9"/>
      <c r="P38" s="9"/>
      <c r="Q38" s="9"/>
      <c r="R38" s="9"/>
      <c r="S38" s="9"/>
      <c r="T38" s="9"/>
      <c r="U38" s="9"/>
      <c r="V38" s="9"/>
      <c r="W38" s="115"/>
    </row>
    <row r="39" spans="1:23" s="21" customFormat="1" ht="15" customHeight="1" x14ac:dyDescent="0.15">
      <c r="A39" s="688"/>
      <c r="B39" s="689"/>
      <c r="C39" s="689"/>
      <c r="D39" s="689"/>
      <c r="E39" s="689"/>
      <c r="F39" s="689"/>
      <c r="G39" s="689"/>
      <c r="H39" s="689"/>
      <c r="I39" s="689"/>
      <c r="J39" s="689"/>
      <c r="K39" s="689"/>
      <c r="L39" s="689"/>
      <c r="M39" s="689"/>
      <c r="N39" s="114"/>
      <c r="O39" s="9"/>
      <c r="P39" s="9"/>
      <c r="Q39" s="9"/>
      <c r="R39" s="9"/>
      <c r="S39" s="9"/>
      <c r="T39" s="9"/>
      <c r="U39" s="9"/>
      <c r="V39" s="9"/>
      <c r="W39" s="115"/>
    </row>
    <row r="40" spans="1:23" s="21" customFormat="1" ht="33.75" customHeight="1" x14ac:dyDescent="0.15">
      <c r="A40" s="688"/>
      <c r="B40" s="689"/>
      <c r="C40" s="689"/>
      <c r="D40" s="689"/>
      <c r="E40" s="689"/>
      <c r="F40" s="689"/>
      <c r="G40" s="689"/>
      <c r="H40" s="689"/>
      <c r="I40" s="689"/>
      <c r="J40" s="689"/>
      <c r="K40" s="689"/>
      <c r="L40" s="689"/>
      <c r="M40" s="689"/>
      <c r="N40" s="711" t="s">
        <v>268</v>
      </c>
      <c r="O40" s="712"/>
      <c r="P40" s="712"/>
      <c r="Q40" s="713">
        <f>sheet1!N35</f>
        <v>0</v>
      </c>
      <c r="R40" s="714"/>
      <c r="S40" s="714"/>
      <c r="T40" s="714"/>
      <c r="U40" s="714"/>
      <c r="V40" s="714"/>
      <c r="W40" s="715"/>
    </row>
    <row r="41" spans="1:23" s="21" customFormat="1" ht="18" customHeight="1" x14ac:dyDescent="0.15">
      <c r="A41" s="688"/>
      <c r="B41" s="689"/>
      <c r="C41" s="689"/>
      <c r="D41" s="689"/>
      <c r="E41" s="689"/>
      <c r="F41" s="689"/>
      <c r="G41" s="689"/>
      <c r="H41" s="689"/>
      <c r="I41" s="689"/>
      <c r="J41" s="689"/>
      <c r="K41" s="689"/>
      <c r="L41" s="689"/>
      <c r="M41" s="690"/>
      <c r="N41" s="377" t="s">
        <v>241</v>
      </c>
      <c r="O41" s="294"/>
      <c r="P41" s="294"/>
      <c r="Q41" s="294"/>
      <c r="R41" s="294"/>
      <c r="S41" s="294"/>
      <c r="T41" s="294"/>
      <c r="U41" s="294"/>
      <c r="V41" s="294"/>
      <c r="W41" s="295"/>
    </row>
    <row r="42" spans="1:23" s="21" customFormat="1" ht="15" customHeight="1" x14ac:dyDescent="0.15">
      <c r="A42" s="688"/>
      <c r="B42" s="689"/>
      <c r="C42" s="689"/>
      <c r="D42" s="689"/>
      <c r="E42" s="689"/>
      <c r="F42" s="689"/>
      <c r="G42" s="689"/>
      <c r="H42" s="689"/>
      <c r="I42" s="689"/>
      <c r="J42" s="689"/>
      <c r="K42" s="689"/>
      <c r="L42" s="689"/>
      <c r="M42" s="690"/>
      <c r="N42" s="309" t="s">
        <v>44</v>
      </c>
      <c r="O42" s="309"/>
      <c r="P42" s="699" t="s">
        <v>39</v>
      </c>
      <c r="Q42" s="700"/>
      <c r="R42" s="700"/>
      <c r="S42" s="700"/>
      <c r="T42" s="700"/>
      <c r="U42" s="700"/>
      <c r="V42" s="700"/>
      <c r="W42" s="701"/>
    </row>
    <row r="43" spans="1:23" s="21" customFormat="1" ht="15.75" customHeight="1" x14ac:dyDescent="0.15">
      <c r="A43" s="688"/>
      <c r="B43" s="689"/>
      <c r="C43" s="689"/>
      <c r="D43" s="689"/>
      <c r="E43" s="689"/>
      <c r="F43" s="689"/>
      <c r="G43" s="689"/>
      <c r="H43" s="689"/>
      <c r="I43" s="689"/>
      <c r="J43" s="689"/>
      <c r="K43" s="689"/>
      <c r="L43" s="689"/>
      <c r="M43" s="690"/>
      <c r="N43" s="309"/>
      <c r="O43" s="309"/>
      <c r="P43" s="704" t="str">
        <f>sheet1!C44</f>
        <v>HRC 61~64</v>
      </c>
      <c r="Q43" s="705"/>
      <c r="R43" s="705"/>
      <c r="S43" s="705"/>
      <c r="T43" s="705"/>
      <c r="U43" s="705"/>
      <c r="V43" s="705"/>
      <c r="W43" s="706"/>
    </row>
    <row r="44" spans="1:23" s="21" customFormat="1" ht="15.75" customHeight="1" x14ac:dyDescent="0.15">
      <c r="A44" s="688"/>
      <c r="B44" s="689"/>
      <c r="C44" s="689"/>
      <c r="D44" s="689"/>
      <c r="E44" s="689"/>
      <c r="F44" s="689"/>
      <c r="G44" s="689"/>
      <c r="H44" s="689"/>
      <c r="I44" s="689"/>
      <c r="J44" s="689"/>
      <c r="K44" s="689"/>
      <c r="L44" s="689"/>
      <c r="M44" s="690"/>
      <c r="N44" s="703" t="s">
        <v>90</v>
      </c>
      <c r="O44" s="703"/>
      <c r="P44" s="716" t="s">
        <v>278</v>
      </c>
      <c r="Q44" s="717"/>
      <c r="R44" s="717"/>
      <c r="S44" s="717"/>
      <c r="T44" s="717"/>
      <c r="U44" s="717"/>
      <c r="V44" s="717"/>
      <c r="W44" s="718"/>
    </row>
    <row r="45" spans="1:23" s="21" customFormat="1" ht="15.75" customHeight="1" x14ac:dyDescent="0.15">
      <c r="A45" s="688"/>
      <c r="B45" s="689"/>
      <c r="C45" s="689"/>
      <c r="D45" s="689"/>
      <c r="E45" s="689"/>
      <c r="F45" s="689"/>
      <c r="G45" s="689"/>
      <c r="H45" s="689"/>
      <c r="I45" s="689"/>
      <c r="J45" s="689"/>
      <c r="K45" s="689"/>
      <c r="L45" s="689"/>
      <c r="M45" s="690"/>
      <c r="N45" s="703"/>
      <c r="O45" s="703"/>
      <c r="P45" s="719"/>
      <c r="Q45" s="720"/>
      <c r="R45" s="720"/>
      <c r="S45" s="720"/>
      <c r="T45" s="720"/>
      <c r="U45" s="720"/>
      <c r="V45" s="720"/>
      <c r="W45" s="721"/>
    </row>
    <row r="46" spans="1:23" s="21" customFormat="1" ht="24.95" customHeight="1" x14ac:dyDescent="0.15">
      <c r="A46" s="688"/>
      <c r="B46" s="689"/>
      <c r="C46" s="689"/>
      <c r="D46" s="689"/>
      <c r="E46" s="689"/>
      <c r="F46" s="689"/>
      <c r="G46" s="689"/>
      <c r="H46" s="689"/>
      <c r="I46" s="689"/>
      <c r="J46" s="689"/>
      <c r="K46" s="689"/>
      <c r="L46" s="689"/>
      <c r="M46" s="690"/>
      <c r="N46" s="707" t="s">
        <v>181</v>
      </c>
      <c r="O46" s="708"/>
      <c r="P46" s="341"/>
      <c r="Q46" s="341"/>
      <c r="R46" s="341"/>
      <c r="S46" s="341"/>
      <c r="T46" s="694"/>
      <c r="U46" s="694"/>
      <c r="V46" s="694"/>
      <c r="W46" s="695"/>
    </row>
    <row r="47" spans="1:23" s="21" customFormat="1" ht="24.95" customHeight="1" x14ac:dyDescent="0.15">
      <c r="A47" s="688"/>
      <c r="B47" s="689"/>
      <c r="C47" s="689"/>
      <c r="D47" s="689"/>
      <c r="E47" s="689"/>
      <c r="F47" s="689"/>
      <c r="G47" s="689"/>
      <c r="H47" s="689"/>
      <c r="I47" s="689"/>
      <c r="J47" s="689"/>
      <c r="K47" s="689"/>
      <c r="L47" s="689"/>
      <c r="M47" s="690"/>
      <c r="N47" s="349" t="s">
        <v>182</v>
      </c>
      <c r="O47" s="702"/>
      <c r="P47" s="344"/>
      <c r="Q47" s="344"/>
      <c r="R47" s="344"/>
      <c r="S47" s="344"/>
      <c r="T47" s="696"/>
      <c r="U47" s="696"/>
      <c r="V47" s="696"/>
      <c r="W47" s="697"/>
    </row>
    <row r="48" spans="1:23" s="21" customFormat="1" ht="24.95" customHeight="1" thickBot="1" x14ac:dyDescent="0.2">
      <c r="A48" s="691"/>
      <c r="B48" s="692"/>
      <c r="C48" s="692"/>
      <c r="D48" s="692"/>
      <c r="E48" s="692"/>
      <c r="F48" s="692"/>
      <c r="G48" s="692"/>
      <c r="H48" s="692"/>
      <c r="I48" s="692"/>
      <c r="J48" s="692"/>
      <c r="K48" s="692"/>
      <c r="L48" s="692"/>
      <c r="M48" s="693"/>
      <c r="N48" s="686" t="s">
        <v>223</v>
      </c>
      <c r="O48" s="687"/>
      <c r="P48" s="347"/>
      <c r="Q48" s="347"/>
      <c r="R48" s="347"/>
      <c r="S48" s="347"/>
      <c r="T48" s="685"/>
      <c r="U48" s="685"/>
      <c r="V48" s="685"/>
      <c r="W48" s="698"/>
    </row>
    <row r="49" spans="1:23" s="21" customFormat="1" x14ac:dyDescent="0.15">
      <c r="A49" s="316" t="s">
        <v>243</v>
      </c>
      <c r="B49" s="316"/>
      <c r="C49" s="316"/>
      <c r="D49" s="316"/>
      <c r="E49" s="316"/>
      <c r="F49" s="316"/>
      <c r="G49" s="22"/>
      <c r="H49" s="22"/>
      <c r="I49" s="22"/>
      <c r="J49" s="317" t="s">
        <v>50</v>
      </c>
      <c r="K49" s="317"/>
      <c r="L49" s="317"/>
      <c r="M49" s="317"/>
      <c r="N49" s="318"/>
      <c r="O49" s="318"/>
      <c r="P49" s="45"/>
      <c r="Q49" s="45"/>
      <c r="R49" s="45"/>
      <c r="S49" s="319" t="s">
        <v>51</v>
      </c>
      <c r="T49" s="319"/>
      <c r="U49" s="319"/>
      <c r="V49" s="319"/>
      <c r="W49" s="319"/>
    </row>
    <row r="50" spans="1:23" s="1" customFormat="1" ht="12.75" thickBot="1" x14ac:dyDescent="0.2">
      <c r="A50" s="24"/>
      <c r="B50" s="25"/>
      <c r="C50" s="25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1"/>
      <c r="V50" s="21"/>
      <c r="W50" s="21"/>
    </row>
    <row r="51" spans="1:23" x14ac:dyDescent="0.15">
      <c r="A51" s="148" t="s">
        <v>293</v>
      </c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  <c r="S51" s="149"/>
      <c r="T51" s="149"/>
      <c r="U51" s="149"/>
      <c r="V51" s="149"/>
      <c r="W51" s="150"/>
    </row>
    <row r="52" spans="1:23" ht="14.25" thickBot="1" x14ac:dyDescent="0.2">
      <c r="A52" s="151"/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3"/>
    </row>
    <row r="53" spans="1:23" ht="24.95" customHeight="1" thickBot="1" x14ac:dyDescent="0.2">
      <c r="A53" s="154" t="s">
        <v>294</v>
      </c>
      <c r="B53" s="155"/>
      <c r="C53" s="156" t="s">
        <v>295</v>
      </c>
      <c r="D53" s="157"/>
      <c r="E53" s="157" t="s">
        <v>283</v>
      </c>
      <c r="F53" s="157"/>
      <c r="G53" s="157" t="s">
        <v>284</v>
      </c>
      <c r="H53" s="157"/>
      <c r="I53" s="157" t="s">
        <v>285</v>
      </c>
      <c r="J53" s="157"/>
      <c r="K53" s="157" t="s">
        <v>286</v>
      </c>
      <c r="L53" s="158"/>
      <c r="M53" s="159" t="s">
        <v>296</v>
      </c>
      <c r="N53" s="160"/>
      <c r="O53" s="160"/>
      <c r="P53" s="160"/>
      <c r="Q53" s="160"/>
      <c r="R53" s="160"/>
      <c r="S53" s="160"/>
      <c r="T53" s="160"/>
      <c r="U53" s="160"/>
      <c r="V53" s="160"/>
      <c r="W53" s="161"/>
    </row>
    <row r="54" spans="1:23" ht="24.95" customHeight="1" x14ac:dyDescent="0.15">
      <c r="A54" s="162"/>
      <c r="B54" s="163"/>
      <c r="C54" s="164"/>
      <c r="D54" s="165"/>
      <c r="E54" s="165"/>
      <c r="F54" s="165"/>
      <c r="G54" s="165"/>
      <c r="H54" s="165"/>
      <c r="I54" s="165"/>
      <c r="J54" s="165"/>
      <c r="K54" s="165"/>
      <c r="L54" s="166"/>
      <c r="M54" s="167"/>
      <c r="N54" s="168"/>
      <c r="O54" s="168"/>
      <c r="P54" s="168"/>
      <c r="Q54" s="168"/>
      <c r="R54" s="168"/>
      <c r="S54" s="168"/>
      <c r="T54" s="168"/>
      <c r="U54" s="168"/>
      <c r="V54" s="168"/>
      <c r="W54" s="169"/>
    </row>
    <row r="55" spans="1:23" ht="24.95" customHeight="1" x14ac:dyDescent="0.15">
      <c r="A55" s="503"/>
      <c r="B55" s="504"/>
      <c r="C55" s="505"/>
      <c r="D55" s="506"/>
      <c r="E55" s="506"/>
      <c r="F55" s="506"/>
      <c r="G55" s="506"/>
      <c r="H55" s="506"/>
      <c r="I55" s="506"/>
      <c r="J55" s="506"/>
      <c r="K55" s="506"/>
      <c r="L55" s="507"/>
      <c r="M55" s="508"/>
      <c r="N55" s="509"/>
      <c r="O55" s="509"/>
      <c r="P55" s="509"/>
      <c r="Q55" s="509"/>
      <c r="R55" s="509"/>
      <c r="S55" s="509"/>
      <c r="T55" s="509"/>
      <c r="U55" s="509"/>
      <c r="V55" s="509"/>
      <c r="W55" s="510"/>
    </row>
    <row r="56" spans="1:23" ht="24.95" customHeight="1" x14ac:dyDescent="0.15">
      <c r="A56" s="503"/>
      <c r="B56" s="504"/>
      <c r="C56" s="505"/>
      <c r="D56" s="506"/>
      <c r="E56" s="506"/>
      <c r="F56" s="506"/>
      <c r="G56" s="506"/>
      <c r="H56" s="506"/>
      <c r="I56" s="506"/>
      <c r="J56" s="506"/>
      <c r="K56" s="506"/>
      <c r="L56" s="507"/>
      <c r="M56" s="508"/>
      <c r="N56" s="509"/>
      <c r="O56" s="509"/>
      <c r="P56" s="509"/>
      <c r="Q56" s="509"/>
      <c r="R56" s="509"/>
      <c r="S56" s="509"/>
      <c r="T56" s="509"/>
      <c r="U56" s="509"/>
      <c r="V56" s="509"/>
      <c r="W56" s="510"/>
    </row>
    <row r="57" spans="1:23" ht="24.95" customHeight="1" x14ac:dyDescent="0.15">
      <c r="A57" s="503"/>
      <c r="B57" s="504"/>
      <c r="C57" s="505"/>
      <c r="D57" s="506"/>
      <c r="E57" s="506"/>
      <c r="F57" s="506"/>
      <c r="G57" s="506"/>
      <c r="H57" s="506"/>
      <c r="I57" s="506"/>
      <c r="J57" s="506"/>
      <c r="K57" s="506"/>
      <c r="L57" s="507"/>
      <c r="M57" s="508"/>
      <c r="N57" s="509"/>
      <c r="O57" s="509"/>
      <c r="P57" s="509"/>
      <c r="Q57" s="509"/>
      <c r="R57" s="509"/>
      <c r="S57" s="509"/>
      <c r="T57" s="509"/>
      <c r="U57" s="509"/>
      <c r="V57" s="509"/>
      <c r="W57" s="510"/>
    </row>
    <row r="58" spans="1:23" ht="24.95" customHeight="1" x14ac:dyDescent="0.15">
      <c r="A58" s="503"/>
      <c r="B58" s="504"/>
      <c r="C58" s="505"/>
      <c r="D58" s="506"/>
      <c r="E58" s="506"/>
      <c r="F58" s="506"/>
      <c r="G58" s="506"/>
      <c r="H58" s="506"/>
      <c r="I58" s="506"/>
      <c r="J58" s="506"/>
      <c r="K58" s="506"/>
      <c r="L58" s="507"/>
      <c r="M58" s="508"/>
      <c r="N58" s="509"/>
      <c r="O58" s="509"/>
      <c r="P58" s="509"/>
      <c r="Q58" s="509"/>
      <c r="R58" s="509"/>
      <c r="S58" s="509"/>
      <c r="T58" s="509"/>
      <c r="U58" s="509"/>
      <c r="V58" s="509"/>
      <c r="W58" s="510"/>
    </row>
    <row r="59" spans="1:23" ht="24.95" customHeight="1" x14ac:dyDescent="0.15">
      <c r="A59" s="503"/>
      <c r="B59" s="504"/>
      <c r="C59" s="505"/>
      <c r="D59" s="506"/>
      <c r="E59" s="506"/>
      <c r="F59" s="506"/>
      <c r="G59" s="506"/>
      <c r="H59" s="506"/>
      <c r="I59" s="506"/>
      <c r="J59" s="506"/>
      <c r="K59" s="506"/>
      <c r="L59" s="507"/>
      <c r="M59" s="508"/>
      <c r="N59" s="509"/>
      <c r="O59" s="509"/>
      <c r="P59" s="509"/>
      <c r="Q59" s="509"/>
      <c r="R59" s="509"/>
      <c r="S59" s="509"/>
      <c r="T59" s="509"/>
      <c r="U59" s="509"/>
      <c r="V59" s="509"/>
      <c r="W59" s="510"/>
    </row>
    <row r="60" spans="1:23" ht="24.95" customHeight="1" x14ac:dyDescent="0.15">
      <c r="A60" s="503"/>
      <c r="B60" s="504"/>
      <c r="C60" s="505"/>
      <c r="D60" s="506"/>
      <c r="E60" s="506"/>
      <c r="F60" s="506"/>
      <c r="G60" s="506"/>
      <c r="H60" s="506"/>
      <c r="I60" s="506"/>
      <c r="J60" s="506"/>
      <c r="K60" s="506"/>
      <c r="L60" s="507"/>
      <c r="M60" s="508"/>
      <c r="N60" s="509"/>
      <c r="O60" s="509"/>
      <c r="P60" s="509"/>
      <c r="Q60" s="509"/>
      <c r="R60" s="509"/>
      <c r="S60" s="509"/>
      <c r="T60" s="509"/>
      <c r="U60" s="509"/>
      <c r="V60" s="509"/>
      <c r="W60" s="510"/>
    </row>
    <row r="61" spans="1:23" ht="24.95" customHeight="1" x14ac:dyDescent="0.15">
      <c r="A61" s="503"/>
      <c r="B61" s="504"/>
      <c r="C61" s="505"/>
      <c r="D61" s="506"/>
      <c r="E61" s="506"/>
      <c r="F61" s="506"/>
      <c r="G61" s="506"/>
      <c r="H61" s="506"/>
      <c r="I61" s="506"/>
      <c r="J61" s="506"/>
      <c r="K61" s="506"/>
      <c r="L61" s="507"/>
      <c r="M61" s="508"/>
      <c r="N61" s="509"/>
      <c r="O61" s="509"/>
      <c r="P61" s="509"/>
      <c r="Q61" s="509"/>
      <c r="R61" s="509"/>
      <c r="S61" s="509"/>
      <c r="T61" s="509"/>
      <c r="U61" s="509"/>
      <c r="V61" s="509"/>
      <c r="W61" s="510"/>
    </row>
    <row r="62" spans="1:23" ht="24.95" customHeight="1" x14ac:dyDescent="0.15">
      <c r="A62" s="503"/>
      <c r="B62" s="504"/>
      <c r="C62" s="505"/>
      <c r="D62" s="506"/>
      <c r="E62" s="506"/>
      <c r="F62" s="506"/>
      <c r="G62" s="506"/>
      <c r="H62" s="506"/>
      <c r="I62" s="506"/>
      <c r="J62" s="506"/>
      <c r="K62" s="506"/>
      <c r="L62" s="507"/>
      <c r="M62" s="508"/>
      <c r="N62" s="509"/>
      <c r="O62" s="509"/>
      <c r="P62" s="509"/>
      <c r="Q62" s="509"/>
      <c r="R62" s="509"/>
      <c r="S62" s="509"/>
      <c r="T62" s="509"/>
      <c r="U62" s="509"/>
      <c r="V62" s="509"/>
      <c r="W62" s="510"/>
    </row>
    <row r="63" spans="1:23" ht="24.95" customHeight="1" x14ac:dyDescent="0.15">
      <c r="A63" s="503"/>
      <c r="B63" s="504"/>
      <c r="C63" s="505"/>
      <c r="D63" s="506"/>
      <c r="E63" s="506"/>
      <c r="F63" s="506"/>
      <c r="G63" s="506"/>
      <c r="H63" s="506"/>
      <c r="I63" s="506"/>
      <c r="J63" s="506"/>
      <c r="K63" s="506"/>
      <c r="L63" s="507"/>
      <c r="M63" s="508"/>
      <c r="N63" s="509"/>
      <c r="O63" s="509"/>
      <c r="P63" s="509"/>
      <c r="Q63" s="509"/>
      <c r="R63" s="509"/>
      <c r="S63" s="509"/>
      <c r="T63" s="509"/>
      <c r="U63" s="509"/>
      <c r="V63" s="509"/>
      <c r="W63" s="510"/>
    </row>
    <row r="64" spans="1:23" ht="24.95" customHeight="1" x14ac:dyDescent="0.15">
      <c r="A64" s="503"/>
      <c r="B64" s="504"/>
      <c r="C64" s="505"/>
      <c r="D64" s="506"/>
      <c r="E64" s="506"/>
      <c r="F64" s="506"/>
      <c r="G64" s="506"/>
      <c r="H64" s="506"/>
      <c r="I64" s="506"/>
      <c r="J64" s="506"/>
      <c r="K64" s="506"/>
      <c r="L64" s="507"/>
      <c r="M64" s="508"/>
      <c r="N64" s="509"/>
      <c r="O64" s="509"/>
      <c r="P64" s="509"/>
      <c r="Q64" s="509"/>
      <c r="R64" s="509"/>
      <c r="S64" s="509"/>
      <c r="T64" s="509"/>
      <c r="U64" s="509"/>
      <c r="V64" s="509"/>
      <c r="W64" s="510"/>
    </row>
    <row r="65" spans="1:23" ht="24.95" customHeight="1" x14ac:dyDescent="0.15">
      <c r="A65" s="503"/>
      <c r="B65" s="504"/>
      <c r="C65" s="505"/>
      <c r="D65" s="506"/>
      <c r="E65" s="506"/>
      <c r="F65" s="506"/>
      <c r="G65" s="506"/>
      <c r="H65" s="506"/>
      <c r="I65" s="506"/>
      <c r="J65" s="506"/>
      <c r="K65" s="506"/>
      <c r="L65" s="507"/>
      <c r="M65" s="508"/>
      <c r="N65" s="509"/>
      <c r="O65" s="509"/>
      <c r="P65" s="509"/>
      <c r="Q65" s="509"/>
      <c r="R65" s="509"/>
      <c r="S65" s="509"/>
      <c r="T65" s="509"/>
      <c r="U65" s="509"/>
      <c r="V65" s="509"/>
      <c r="W65" s="510"/>
    </row>
    <row r="66" spans="1:23" ht="24.95" customHeight="1" x14ac:dyDescent="0.15">
      <c r="A66" s="503"/>
      <c r="B66" s="504"/>
      <c r="C66" s="505"/>
      <c r="D66" s="506"/>
      <c r="E66" s="506"/>
      <c r="F66" s="506"/>
      <c r="G66" s="506"/>
      <c r="H66" s="506"/>
      <c r="I66" s="506"/>
      <c r="J66" s="506"/>
      <c r="K66" s="506"/>
      <c r="L66" s="507"/>
      <c r="M66" s="508"/>
      <c r="N66" s="509"/>
      <c r="O66" s="509"/>
      <c r="P66" s="509"/>
      <c r="Q66" s="509"/>
      <c r="R66" s="509"/>
      <c r="S66" s="509"/>
      <c r="T66" s="509"/>
      <c r="U66" s="509"/>
      <c r="V66" s="509"/>
      <c r="W66" s="510"/>
    </row>
    <row r="67" spans="1:23" ht="24.95" customHeight="1" x14ac:dyDescent="0.15">
      <c r="A67" s="503"/>
      <c r="B67" s="504"/>
      <c r="C67" s="505"/>
      <c r="D67" s="506"/>
      <c r="E67" s="506"/>
      <c r="F67" s="506"/>
      <c r="G67" s="506"/>
      <c r="H67" s="506"/>
      <c r="I67" s="506"/>
      <c r="J67" s="506"/>
      <c r="K67" s="506"/>
      <c r="L67" s="507"/>
      <c r="M67" s="508"/>
      <c r="N67" s="509"/>
      <c r="O67" s="509"/>
      <c r="P67" s="509"/>
      <c r="Q67" s="509"/>
      <c r="R67" s="509"/>
      <c r="S67" s="509"/>
      <c r="T67" s="509"/>
      <c r="U67" s="509"/>
      <c r="V67" s="509"/>
      <c r="W67" s="510"/>
    </row>
    <row r="68" spans="1:23" ht="24.95" customHeight="1" x14ac:dyDescent="0.15">
      <c r="A68" s="503"/>
      <c r="B68" s="504"/>
      <c r="C68" s="505"/>
      <c r="D68" s="506"/>
      <c r="E68" s="506"/>
      <c r="F68" s="506"/>
      <c r="G68" s="506"/>
      <c r="H68" s="506"/>
      <c r="I68" s="506"/>
      <c r="J68" s="506"/>
      <c r="K68" s="506"/>
      <c r="L68" s="507"/>
      <c r="M68" s="508"/>
      <c r="N68" s="509"/>
      <c r="O68" s="509"/>
      <c r="P68" s="509"/>
      <c r="Q68" s="509"/>
      <c r="R68" s="509"/>
      <c r="S68" s="509"/>
      <c r="T68" s="509"/>
      <c r="U68" s="509"/>
      <c r="V68" s="509"/>
      <c r="W68" s="510"/>
    </row>
    <row r="69" spans="1:23" ht="24.95" customHeight="1" x14ac:dyDescent="0.15">
      <c r="A69" s="122"/>
      <c r="B69" s="123"/>
      <c r="C69" s="505"/>
      <c r="D69" s="506"/>
      <c r="E69" s="506"/>
      <c r="F69" s="506"/>
      <c r="G69" s="506"/>
      <c r="H69" s="506"/>
      <c r="I69" s="506"/>
      <c r="J69" s="506"/>
      <c r="K69" s="506"/>
      <c r="L69" s="507"/>
      <c r="M69" s="124"/>
      <c r="N69" s="125"/>
      <c r="O69" s="125"/>
      <c r="P69" s="125"/>
      <c r="Q69" s="125"/>
      <c r="R69" s="125"/>
      <c r="S69" s="125"/>
      <c r="T69" s="125"/>
      <c r="U69" s="125"/>
      <c r="V69" s="125"/>
      <c r="W69" s="126"/>
    </row>
    <row r="70" spans="1:23" ht="24.95" customHeight="1" x14ac:dyDescent="0.15">
      <c r="A70" s="503"/>
      <c r="B70" s="504"/>
      <c r="C70" s="505"/>
      <c r="D70" s="506"/>
      <c r="E70" s="506"/>
      <c r="F70" s="506"/>
      <c r="G70" s="506"/>
      <c r="H70" s="506"/>
      <c r="I70" s="506"/>
      <c r="J70" s="506"/>
      <c r="K70" s="506"/>
      <c r="L70" s="507"/>
      <c r="M70" s="508"/>
      <c r="N70" s="509"/>
      <c r="O70" s="509"/>
      <c r="P70" s="509"/>
      <c r="Q70" s="509"/>
      <c r="R70" s="509"/>
      <c r="S70" s="509"/>
      <c r="T70" s="509"/>
      <c r="U70" s="509"/>
      <c r="V70" s="509"/>
      <c r="W70" s="510"/>
    </row>
    <row r="71" spans="1:23" ht="24.95" customHeight="1" thickBot="1" x14ac:dyDescent="0.2">
      <c r="A71" s="516"/>
      <c r="B71" s="517"/>
      <c r="C71" s="518"/>
      <c r="D71" s="519"/>
      <c r="E71" s="519"/>
      <c r="F71" s="519"/>
      <c r="G71" s="519"/>
      <c r="H71" s="519"/>
      <c r="I71" s="519"/>
      <c r="J71" s="519"/>
      <c r="K71" s="519"/>
      <c r="L71" s="520"/>
      <c r="M71" s="521"/>
      <c r="N71" s="522"/>
      <c r="O71" s="522"/>
      <c r="P71" s="522"/>
      <c r="Q71" s="522"/>
      <c r="R71" s="522"/>
      <c r="S71" s="522"/>
      <c r="T71" s="522"/>
      <c r="U71" s="522"/>
      <c r="V71" s="522"/>
      <c r="W71" s="523"/>
    </row>
    <row r="72" spans="1:23" x14ac:dyDescent="0.15">
      <c r="A72" s="127"/>
      <c r="B72" s="128"/>
      <c r="C72" s="129"/>
      <c r="D72" s="129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28"/>
      <c r="S72" s="128"/>
      <c r="T72" s="128"/>
      <c r="U72" s="128"/>
      <c r="V72" s="130"/>
      <c r="W72" s="131"/>
    </row>
    <row r="73" spans="1:23" s="1" customFormat="1" ht="12.75" thickBot="1" x14ac:dyDescent="0.2">
      <c r="A73" s="24"/>
      <c r="B73" s="25"/>
      <c r="C73" s="25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1"/>
      <c r="V73" s="21"/>
      <c r="W73" s="21"/>
    </row>
    <row r="74" spans="1:23" s="1" customFormat="1" ht="12" customHeight="1" x14ac:dyDescent="0.15">
      <c r="A74" s="742" t="s">
        <v>208</v>
      </c>
      <c r="B74" s="743"/>
      <c r="C74" s="743"/>
      <c r="D74" s="743"/>
      <c r="E74" s="743"/>
      <c r="F74" s="743"/>
      <c r="G74" s="743"/>
      <c r="H74" s="743"/>
      <c r="I74" s="743"/>
      <c r="J74" s="743"/>
      <c r="K74" s="743"/>
      <c r="L74" s="743"/>
      <c r="M74" s="743"/>
      <c r="N74" s="743"/>
      <c r="O74" s="743"/>
      <c r="P74" s="743"/>
      <c r="Q74" s="743"/>
      <c r="R74" s="743"/>
      <c r="S74" s="743"/>
      <c r="T74" s="743"/>
      <c r="U74" s="743"/>
      <c r="V74" s="743"/>
      <c r="W74" s="744"/>
    </row>
    <row r="75" spans="1:23" s="1" customFormat="1" ht="33.75" customHeight="1" x14ac:dyDescent="0.15">
      <c r="A75" s="745"/>
      <c r="B75" s="746"/>
      <c r="C75" s="746"/>
      <c r="D75" s="746"/>
      <c r="E75" s="746"/>
      <c r="F75" s="746"/>
      <c r="G75" s="746"/>
      <c r="H75" s="746"/>
      <c r="I75" s="746"/>
      <c r="J75" s="746"/>
      <c r="K75" s="746"/>
      <c r="L75" s="746"/>
      <c r="M75" s="746"/>
      <c r="N75" s="746"/>
      <c r="O75" s="746"/>
      <c r="P75" s="746"/>
      <c r="Q75" s="746"/>
      <c r="R75" s="746"/>
      <c r="S75" s="746"/>
      <c r="T75" s="746"/>
      <c r="U75" s="746"/>
      <c r="V75" s="746"/>
      <c r="W75" s="747"/>
    </row>
    <row r="76" spans="1:23" s="1" customFormat="1" ht="13.5" customHeight="1" x14ac:dyDescent="0.15">
      <c r="A76" s="132" t="s">
        <v>209</v>
      </c>
      <c r="B76" s="133"/>
      <c r="C76" s="133" t="s">
        <v>198</v>
      </c>
      <c r="D76" s="133"/>
      <c r="E76" s="133" t="s">
        <v>199</v>
      </c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 t="s">
        <v>200</v>
      </c>
      <c r="S76" s="133"/>
      <c r="T76" s="133" t="s">
        <v>201</v>
      </c>
      <c r="U76" s="133"/>
      <c r="V76" s="133" t="s">
        <v>197</v>
      </c>
      <c r="W76" s="141"/>
    </row>
    <row r="77" spans="1:23" s="1" customFormat="1" ht="13.5" customHeight="1" x14ac:dyDescent="0.15">
      <c r="A77" s="132"/>
      <c r="B77" s="133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41"/>
    </row>
    <row r="78" spans="1:23" x14ac:dyDescent="0.15">
      <c r="A78" s="142" t="s">
        <v>210</v>
      </c>
      <c r="B78" s="143"/>
      <c r="C78" s="134" t="s">
        <v>206</v>
      </c>
      <c r="D78" s="134"/>
      <c r="E78" s="134" t="s">
        <v>202</v>
      </c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3" t="s">
        <v>205</v>
      </c>
      <c r="S78" s="133"/>
      <c r="T78" s="144"/>
      <c r="U78" s="144"/>
      <c r="V78" s="133" t="s">
        <v>203</v>
      </c>
      <c r="W78" s="141"/>
    </row>
    <row r="79" spans="1:23" x14ac:dyDescent="0.15">
      <c r="A79" s="142"/>
      <c r="B79" s="143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3"/>
      <c r="S79" s="133"/>
      <c r="T79" s="144"/>
      <c r="U79" s="144"/>
      <c r="V79" s="133"/>
      <c r="W79" s="141"/>
    </row>
    <row r="80" spans="1:23" ht="13.5" customHeight="1" x14ac:dyDescent="0.15">
      <c r="A80" s="132">
        <v>1</v>
      </c>
      <c r="B80" s="133"/>
      <c r="C80" s="134" t="s">
        <v>211</v>
      </c>
      <c r="D80" s="134"/>
      <c r="E80" s="145" t="s">
        <v>279</v>
      </c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33" t="s">
        <v>207</v>
      </c>
      <c r="S80" s="133"/>
      <c r="T80" s="144"/>
      <c r="U80" s="144"/>
      <c r="V80" s="133" t="s">
        <v>204</v>
      </c>
      <c r="W80" s="141"/>
    </row>
    <row r="81" spans="1:23" ht="13.5" customHeight="1" x14ac:dyDescent="0.15">
      <c r="A81" s="132"/>
      <c r="B81" s="133"/>
      <c r="C81" s="134"/>
      <c r="D81" s="134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33"/>
      <c r="S81" s="133"/>
      <c r="T81" s="144"/>
      <c r="U81" s="144"/>
      <c r="V81" s="133"/>
      <c r="W81" s="141"/>
    </row>
    <row r="82" spans="1:23" ht="87.75" customHeight="1" x14ac:dyDescent="0.15">
      <c r="A82" s="132"/>
      <c r="B82" s="133"/>
      <c r="C82" s="134"/>
      <c r="D82" s="134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  <c r="R82" s="133"/>
      <c r="S82" s="133"/>
      <c r="T82" s="144"/>
      <c r="U82" s="144"/>
      <c r="V82" s="133"/>
      <c r="W82" s="141"/>
    </row>
    <row r="83" spans="1:23" x14ac:dyDescent="0.15">
      <c r="A83" s="132">
        <v>2</v>
      </c>
      <c r="B83" s="133"/>
      <c r="C83" s="134"/>
      <c r="D83" s="134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33"/>
      <c r="S83" s="133"/>
      <c r="T83" s="133"/>
      <c r="U83" s="133"/>
      <c r="V83" s="146"/>
      <c r="W83" s="147"/>
    </row>
    <row r="84" spans="1:23" x14ac:dyDescent="0.15">
      <c r="A84" s="132"/>
      <c r="B84" s="133"/>
      <c r="C84" s="134"/>
      <c r="D84" s="134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33"/>
      <c r="S84" s="133"/>
      <c r="T84" s="133"/>
      <c r="U84" s="133"/>
      <c r="V84" s="146"/>
      <c r="W84" s="147"/>
    </row>
    <row r="85" spans="1:23" x14ac:dyDescent="0.15">
      <c r="A85" s="132">
        <v>3</v>
      </c>
      <c r="B85" s="133"/>
      <c r="C85" s="134"/>
      <c r="D85" s="134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33"/>
      <c r="S85" s="133"/>
      <c r="T85" s="133"/>
      <c r="U85" s="133"/>
      <c r="V85" s="146"/>
      <c r="W85" s="147"/>
    </row>
    <row r="86" spans="1:23" x14ac:dyDescent="0.15">
      <c r="A86" s="132"/>
      <c r="B86" s="133"/>
      <c r="C86" s="134"/>
      <c r="D86" s="134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33"/>
      <c r="S86" s="133"/>
      <c r="T86" s="133"/>
      <c r="U86" s="133"/>
      <c r="V86" s="146"/>
      <c r="W86" s="147"/>
    </row>
  </sheetData>
  <mergeCells count="315">
    <mergeCell ref="T85:U86"/>
    <mergeCell ref="V85:W86"/>
    <mergeCell ref="M71:W71"/>
    <mergeCell ref="A74:W75"/>
    <mergeCell ref="A80:B82"/>
    <mergeCell ref="C80:D82"/>
    <mergeCell ref="E80:Q82"/>
    <mergeCell ref="R80:S82"/>
    <mergeCell ref="T80:U82"/>
    <mergeCell ref="V80:W82"/>
    <mergeCell ref="A83:B84"/>
    <mergeCell ref="C83:D84"/>
    <mergeCell ref="E83:Q84"/>
    <mergeCell ref="R83:S84"/>
    <mergeCell ref="T83:U84"/>
    <mergeCell ref="V83:W84"/>
    <mergeCell ref="A78:B79"/>
    <mergeCell ref="C78:D79"/>
    <mergeCell ref="E78:Q79"/>
    <mergeCell ref="R78:S79"/>
    <mergeCell ref="T78:U79"/>
    <mergeCell ref="V78:W79"/>
    <mergeCell ref="T76:U77"/>
    <mergeCell ref="V76:W77"/>
    <mergeCell ref="C69:D69"/>
    <mergeCell ref="E69:F69"/>
    <mergeCell ref="G69:H69"/>
    <mergeCell ref="I69:J69"/>
    <mergeCell ref="K69:L69"/>
    <mergeCell ref="A85:B86"/>
    <mergeCell ref="C85:D86"/>
    <mergeCell ref="E85:Q86"/>
    <mergeCell ref="R85:S86"/>
    <mergeCell ref="A76:B77"/>
    <mergeCell ref="C76:D77"/>
    <mergeCell ref="E76:Q77"/>
    <mergeCell ref="R76:S77"/>
    <mergeCell ref="A70:B70"/>
    <mergeCell ref="C70:D70"/>
    <mergeCell ref="E70:F70"/>
    <mergeCell ref="G70:H70"/>
    <mergeCell ref="I70:J70"/>
    <mergeCell ref="K70:L70"/>
    <mergeCell ref="M70:W70"/>
    <mergeCell ref="A71:B71"/>
    <mergeCell ref="C71:D71"/>
    <mergeCell ref="E71:F71"/>
    <mergeCell ref="G71:H71"/>
    <mergeCell ref="A67:B67"/>
    <mergeCell ref="C67:D67"/>
    <mergeCell ref="E67:F67"/>
    <mergeCell ref="G67:H67"/>
    <mergeCell ref="I67:J67"/>
    <mergeCell ref="K67:L67"/>
    <mergeCell ref="M67:W67"/>
    <mergeCell ref="A68:B68"/>
    <mergeCell ref="C68:D68"/>
    <mergeCell ref="E68:F68"/>
    <mergeCell ref="G68:H68"/>
    <mergeCell ref="I68:J68"/>
    <mergeCell ref="K68:L68"/>
    <mergeCell ref="M68:W68"/>
    <mergeCell ref="A64:B64"/>
    <mergeCell ref="C64:D64"/>
    <mergeCell ref="E64:F64"/>
    <mergeCell ref="G64:H64"/>
    <mergeCell ref="I64:J64"/>
    <mergeCell ref="K64:L64"/>
    <mergeCell ref="M64:W64"/>
    <mergeCell ref="K66:L66"/>
    <mergeCell ref="M66:W66"/>
    <mergeCell ref="A65:B65"/>
    <mergeCell ref="C65:D65"/>
    <mergeCell ref="E65:F65"/>
    <mergeCell ref="G65:H65"/>
    <mergeCell ref="I65:J65"/>
    <mergeCell ref="K65:L65"/>
    <mergeCell ref="M65:W65"/>
    <mergeCell ref="A66:B66"/>
    <mergeCell ref="C66:D66"/>
    <mergeCell ref="E66:F66"/>
    <mergeCell ref="G66:H66"/>
    <mergeCell ref="I66:J66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K63:L63"/>
    <mergeCell ref="M63:W63"/>
    <mergeCell ref="K61:L61"/>
    <mergeCell ref="M61:W61"/>
    <mergeCell ref="A60:B60"/>
    <mergeCell ref="C60:D60"/>
    <mergeCell ref="E60:F60"/>
    <mergeCell ref="G60:H60"/>
    <mergeCell ref="I60:J60"/>
    <mergeCell ref="K60:L60"/>
    <mergeCell ref="M60:W60"/>
    <mergeCell ref="A61:B61"/>
    <mergeCell ref="C61:D61"/>
    <mergeCell ref="E61:F61"/>
    <mergeCell ref="G61:H61"/>
    <mergeCell ref="I61:J61"/>
    <mergeCell ref="C58:D58"/>
    <mergeCell ref="E58:F58"/>
    <mergeCell ref="G58:H58"/>
    <mergeCell ref="I58:J58"/>
    <mergeCell ref="K58:L58"/>
    <mergeCell ref="M58:W58"/>
    <mergeCell ref="A59:B59"/>
    <mergeCell ref="C59:D59"/>
    <mergeCell ref="E59:F59"/>
    <mergeCell ref="G59:H59"/>
    <mergeCell ref="I59:J59"/>
    <mergeCell ref="K59:L59"/>
    <mergeCell ref="M59:W59"/>
    <mergeCell ref="A53:B53"/>
    <mergeCell ref="C53:D53"/>
    <mergeCell ref="E53:F53"/>
    <mergeCell ref="G53:H53"/>
    <mergeCell ref="I53:J53"/>
    <mergeCell ref="K53:L53"/>
    <mergeCell ref="M53:W53"/>
    <mergeCell ref="A54:B54"/>
    <mergeCell ref="C54:D54"/>
    <mergeCell ref="E54:F54"/>
    <mergeCell ref="G54:H54"/>
    <mergeCell ref="I54:J54"/>
    <mergeCell ref="K54:L54"/>
    <mergeCell ref="M54:W54"/>
    <mergeCell ref="A28:M29"/>
    <mergeCell ref="A30:M34"/>
    <mergeCell ref="A3:C3"/>
    <mergeCell ref="D3:M3"/>
    <mergeCell ref="N3:O3"/>
    <mergeCell ref="P3:R3"/>
    <mergeCell ref="S3:W3"/>
    <mergeCell ref="A6:C6"/>
    <mergeCell ref="D6:F6"/>
    <mergeCell ref="G6:I6"/>
    <mergeCell ref="J6:L6"/>
    <mergeCell ref="M7:M8"/>
    <mergeCell ref="N7:O8"/>
    <mergeCell ref="P7:P8"/>
    <mergeCell ref="Q7:R8"/>
    <mergeCell ref="V4:W5"/>
    <mergeCell ref="P4:U5"/>
    <mergeCell ref="S7:T7"/>
    <mergeCell ref="U7:W7"/>
    <mergeCell ref="S8:T9"/>
    <mergeCell ref="U8:W9"/>
    <mergeCell ref="S6:T6"/>
    <mergeCell ref="U6:W6"/>
    <mergeCell ref="M6:O6"/>
    <mergeCell ref="A1:H2"/>
    <mergeCell ref="I1:J1"/>
    <mergeCell ref="K1:M1"/>
    <mergeCell ref="N1:O2"/>
    <mergeCell ref="P1:W2"/>
    <mergeCell ref="I2:J2"/>
    <mergeCell ref="K2:M2"/>
    <mergeCell ref="A5:B5"/>
    <mergeCell ref="C5:G5"/>
    <mergeCell ref="H5:I5"/>
    <mergeCell ref="J5:M5"/>
    <mergeCell ref="A4:B4"/>
    <mergeCell ref="C4:G4"/>
    <mergeCell ref="H4:I4"/>
    <mergeCell ref="J4:M4"/>
    <mergeCell ref="N4:O5"/>
    <mergeCell ref="P6:R6"/>
    <mergeCell ref="A9:E9"/>
    <mergeCell ref="F9:L9"/>
    <mergeCell ref="M9:R9"/>
    <mergeCell ref="A7:A8"/>
    <mergeCell ref="B7:C8"/>
    <mergeCell ref="D7:D8"/>
    <mergeCell ref="E7:F8"/>
    <mergeCell ref="G7:G8"/>
    <mergeCell ref="H7:I8"/>
    <mergeCell ref="J7:J8"/>
    <mergeCell ref="K7:L8"/>
    <mergeCell ref="A10:C10"/>
    <mergeCell ref="D10:E10"/>
    <mergeCell ref="F10:G11"/>
    <mergeCell ref="H10:I10"/>
    <mergeCell ref="K10:M11"/>
    <mergeCell ref="N10:Q11"/>
    <mergeCell ref="R10:W10"/>
    <mergeCell ref="S12:T13"/>
    <mergeCell ref="U12:W13"/>
    <mergeCell ref="S14:T14"/>
    <mergeCell ref="U14:W14"/>
    <mergeCell ref="G15:O15"/>
    <mergeCell ref="S15:T16"/>
    <mergeCell ref="U15:W16"/>
    <mergeCell ref="A11:E11"/>
    <mergeCell ref="H11:J11"/>
    <mergeCell ref="R11:T11"/>
    <mergeCell ref="U11:W11"/>
    <mergeCell ref="B12:C13"/>
    <mergeCell ref="E12:F13"/>
    <mergeCell ref="I12:J13"/>
    <mergeCell ref="K12:K13"/>
    <mergeCell ref="L12:M13"/>
    <mergeCell ref="O12:P13"/>
    <mergeCell ref="A19:C19"/>
    <mergeCell ref="D19:F19"/>
    <mergeCell ref="G19:I19"/>
    <mergeCell ref="J19:L19"/>
    <mergeCell ref="M19:O19"/>
    <mergeCell ref="S19:W19"/>
    <mergeCell ref="S17:W17"/>
    <mergeCell ref="D18:F18"/>
    <mergeCell ref="G18:I18"/>
    <mergeCell ref="J18:L18"/>
    <mergeCell ref="M18:O18"/>
    <mergeCell ref="S18:W18"/>
    <mergeCell ref="A16:B18"/>
    <mergeCell ref="D16:F16"/>
    <mergeCell ref="G16:I16"/>
    <mergeCell ref="J16:L16"/>
    <mergeCell ref="M16:O16"/>
    <mergeCell ref="P16:R17"/>
    <mergeCell ref="U20:W20"/>
    <mergeCell ref="A21:C21"/>
    <mergeCell ref="D21:F21"/>
    <mergeCell ref="G21:L21"/>
    <mergeCell ref="M21:O21"/>
    <mergeCell ref="S21:T21"/>
    <mergeCell ref="U21:W21"/>
    <mergeCell ref="A20:C20"/>
    <mergeCell ref="D20:F20"/>
    <mergeCell ref="M20:O20"/>
    <mergeCell ref="S20:T20"/>
    <mergeCell ref="G20:L20"/>
    <mergeCell ref="A35:M35"/>
    <mergeCell ref="N32:W32"/>
    <mergeCell ref="N40:P40"/>
    <mergeCell ref="Q40:W40"/>
    <mergeCell ref="P44:W45"/>
    <mergeCell ref="A22:C22"/>
    <mergeCell ref="D22:O22"/>
    <mergeCell ref="T22:V22"/>
    <mergeCell ref="A23:C23"/>
    <mergeCell ref="D23:O23"/>
    <mergeCell ref="S23:S24"/>
    <mergeCell ref="W23:W24"/>
    <mergeCell ref="T24:V24"/>
    <mergeCell ref="A25:B27"/>
    <mergeCell ref="D25:F25"/>
    <mergeCell ref="G25:H27"/>
    <mergeCell ref="I25:K25"/>
    <mergeCell ref="L25:L27"/>
    <mergeCell ref="D26:F26"/>
    <mergeCell ref="I26:K26"/>
    <mergeCell ref="D27:F27"/>
    <mergeCell ref="I27:K27"/>
    <mergeCell ref="N25:W25"/>
    <mergeCell ref="N26:W31"/>
    <mergeCell ref="A51:W52"/>
    <mergeCell ref="P48:Q48"/>
    <mergeCell ref="R48:S48"/>
    <mergeCell ref="T48:U48"/>
    <mergeCell ref="A49:F49"/>
    <mergeCell ref="J49:O49"/>
    <mergeCell ref="S49:W49"/>
    <mergeCell ref="N48:O48"/>
    <mergeCell ref="A37:M48"/>
    <mergeCell ref="V46:W48"/>
    <mergeCell ref="P42:W42"/>
    <mergeCell ref="N41:W41"/>
    <mergeCell ref="N47:O47"/>
    <mergeCell ref="P47:Q47"/>
    <mergeCell ref="R47:S47"/>
    <mergeCell ref="T47:U47"/>
    <mergeCell ref="N44:O45"/>
    <mergeCell ref="P43:W43"/>
    <mergeCell ref="N46:O46"/>
    <mergeCell ref="P46:Q46"/>
    <mergeCell ref="R46:S46"/>
    <mergeCell ref="T46:U46"/>
    <mergeCell ref="N42:O43"/>
    <mergeCell ref="I71:J71"/>
    <mergeCell ref="K71:L71"/>
    <mergeCell ref="A55:B55"/>
    <mergeCell ref="C55:D55"/>
    <mergeCell ref="E55:F55"/>
    <mergeCell ref="G55:H55"/>
    <mergeCell ref="I55:J55"/>
    <mergeCell ref="K55:L55"/>
    <mergeCell ref="M55:W55"/>
    <mergeCell ref="A56:B56"/>
    <mergeCell ref="C56:D56"/>
    <mergeCell ref="E56:F56"/>
    <mergeCell ref="G56:H56"/>
    <mergeCell ref="I56:J56"/>
    <mergeCell ref="K56:L56"/>
    <mergeCell ref="M56:W56"/>
    <mergeCell ref="A57:B57"/>
    <mergeCell ref="C57:D57"/>
    <mergeCell ref="E57:F57"/>
    <mergeCell ref="G57:H57"/>
    <mergeCell ref="I57:J57"/>
    <mergeCell ref="K57:L57"/>
    <mergeCell ref="M57:W57"/>
    <mergeCell ref="A58:B58"/>
  </mergeCells>
  <phoneticPr fontId="3" type="noConversion"/>
  <conditionalFormatting sqref="G21:O21">
    <cfRule type="cellIs" dxfId="5" priority="3" operator="equal">
      <formula>"CUT"</formula>
    </cfRule>
  </conditionalFormatting>
  <conditionalFormatting sqref="M20:O20">
    <cfRule type="cellIs" dxfId="4" priority="2" operator="equal">
      <formula>"CUT"</formula>
    </cfRule>
  </conditionalFormatting>
  <conditionalFormatting sqref="G20:L20">
    <cfRule type="cellIs" dxfId="3" priority="1" operator="equal">
      <formula>"CUT"</formula>
    </cfRule>
  </conditionalFormatting>
  <printOptions horizontalCentered="1"/>
  <pageMargins left="0.27559055118110237" right="0.23622047244094491" top="0.15748031496062992" bottom="0.15748031496062992" header="0.15748031496062992" footer="0.15748031496062992"/>
  <pageSetup paperSize="9" scale="93" orientation="portrait" r:id="rId1"/>
  <headerFooter alignWithMargins="0"/>
  <rowBreaks count="1" manualBreakCount="1">
    <brk id="49" max="22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A85"/>
  <sheetViews>
    <sheetView showGridLines="0" showZeros="0" view="pageBreakPreview" zoomScale="85" zoomScaleNormal="100" zoomScaleSheetLayoutView="85" workbookViewId="0">
      <selection activeCell="Z12" sqref="Z12"/>
    </sheetView>
  </sheetViews>
  <sheetFormatPr defaultRowHeight="13.5" x14ac:dyDescent="0.15"/>
  <cols>
    <col min="1" max="13" width="3.6640625" style="29" customWidth="1"/>
    <col min="14" max="15" width="3.77734375" style="29" customWidth="1"/>
    <col min="16" max="20" width="3.6640625" style="29" customWidth="1"/>
    <col min="21" max="23" width="3.6640625" customWidth="1"/>
  </cols>
  <sheetData>
    <row r="1" spans="1:27" ht="20.100000000000001" customHeight="1" x14ac:dyDescent="0.15">
      <c r="A1" s="428" t="s">
        <v>55</v>
      </c>
      <c r="B1" s="413"/>
      <c r="C1" s="413"/>
      <c r="D1" s="413"/>
      <c r="E1" s="413"/>
      <c r="F1" s="413"/>
      <c r="G1" s="413"/>
      <c r="H1" s="413"/>
      <c r="I1" s="663" t="s">
        <v>196</v>
      </c>
      <c r="J1" s="664"/>
      <c r="K1" s="665" t="s">
        <v>195</v>
      </c>
      <c r="L1" s="665"/>
      <c r="M1" s="666"/>
      <c r="N1" s="409" t="s">
        <v>7</v>
      </c>
      <c r="O1" s="410"/>
      <c r="P1" s="413" t="str">
        <f>sheet1!P1</f>
        <v>000000-00-00-00</v>
      </c>
      <c r="Q1" s="413"/>
      <c r="R1" s="413"/>
      <c r="S1" s="413"/>
      <c r="T1" s="413"/>
      <c r="U1" s="413"/>
      <c r="V1" s="413"/>
      <c r="W1" s="414"/>
    </row>
    <row r="2" spans="1:27" ht="20.100000000000001" customHeight="1" x14ac:dyDescent="0.15">
      <c r="A2" s="429"/>
      <c r="B2" s="415"/>
      <c r="C2" s="415"/>
      <c r="D2" s="415"/>
      <c r="E2" s="415"/>
      <c r="F2" s="415"/>
      <c r="G2" s="415"/>
      <c r="H2" s="415"/>
      <c r="I2" s="667" t="s">
        <v>219</v>
      </c>
      <c r="J2" s="668"/>
      <c r="K2" s="669">
        <f ca="1">TODAY()</f>
        <v>44313</v>
      </c>
      <c r="L2" s="670"/>
      <c r="M2" s="671"/>
      <c r="N2" s="524"/>
      <c r="O2" s="525"/>
      <c r="P2" s="526"/>
      <c r="Q2" s="526"/>
      <c r="R2" s="526"/>
      <c r="S2" s="526"/>
      <c r="T2" s="526"/>
      <c r="U2" s="526"/>
      <c r="V2" s="526"/>
      <c r="W2" s="527"/>
    </row>
    <row r="3" spans="1:27" s="1" customFormat="1" ht="15" customHeight="1" x14ac:dyDescent="0.15">
      <c r="A3" s="440" t="s">
        <v>0</v>
      </c>
      <c r="B3" s="441"/>
      <c r="C3" s="441"/>
      <c r="D3" s="425" t="str">
        <f>sheet1!D3</f>
        <v>지엠비코리아㈜</v>
      </c>
      <c r="E3" s="426"/>
      <c r="F3" s="426"/>
      <c r="G3" s="426"/>
      <c r="H3" s="426"/>
      <c r="I3" s="426"/>
      <c r="J3" s="426"/>
      <c r="K3" s="528"/>
      <c r="L3" s="528"/>
      <c r="M3" s="529"/>
      <c r="N3" s="423" t="s">
        <v>1</v>
      </c>
      <c r="O3" s="423"/>
      <c r="P3" s="530">
        <f>sheet1!P3</f>
        <v>0</v>
      </c>
      <c r="Q3" s="531"/>
      <c r="R3" s="531"/>
      <c r="S3" s="532" t="s">
        <v>171</v>
      </c>
      <c r="T3" s="533"/>
      <c r="U3" s="533"/>
      <c r="V3" s="533"/>
      <c r="W3" s="534"/>
    </row>
    <row r="4" spans="1:27" s="1" customFormat="1" ht="24.95" customHeight="1" x14ac:dyDescent="0.15">
      <c r="A4" s="422" t="s">
        <v>2</v>
      </c>
      <c r="B4" s="423"/>
      <c r="C4" s="424" t="str">
        <f>sheet1!C4</f>
        <v>OUTTER RING</v>
      </c>
      <c r="D4" s="424"/>
      <c r="E4" s="424"/>
      <c r="F4" s="424"/>
      <c r="G4" s="424"/>
      <c r="H4" s="423" t="s">
        <v>3</v>
      </c>
      <c r="I4" s="423"/>
      <c r="J4" s="423" t="str">
        <f>sheet1!J4</f>
        <v>SUJ2</v>
      </c>
      <c r="K4" s="423"/>
      <c r="L4" s="423"/>
      <c r="M4" s="423"/>
      <c r="N4" s="447" t="s">
        <v>4</v>
      </c>
      <c r="O4" s="195"/>
      <c r="P4" s="454">
        <f>sheet1!P4</f>
        <v>0</v>
      </c>
      <c r="Q4" s="450"/>
      <c r="R4" s="450"/>
      <c r="S4" s="450"/>
      <c r="T4" s="450"/>
      <c r="U4" s="450"/>
      <c r="V4" s="450"/>
      <c r="W4" s="451"/>
      <c r="Y4" s="1" t="s">
        <v>72</v>
      </c>
      <c r="Z4" s="1" t="s">
        <v>73</v>
      </c>
      <c r="AA4" s="1" t="s">
        <v>74</v>
      </c>
    </row>
    <row r="5" spans="1:27" s="1" customFormat="1" ht="24.95" customHeight="1" thickBot="1" x14ac:dyDescent="0.2">
      <c r="A5" s="417" t="s">
        <v>5</v>
      </c>
      <c r="B5" s="418"/>
      <c r="C5" s="419" t="str">
        <f>sheet1!C5</f>
        <v>D-ENG[복열-VE사양]</v>
      </c>
      <c r="D5" s="419"/>
      <c r="E5" s="419"/>
      <c r="F5" s="419"/>
      <c r="G5" s="419"/>
      <c r="H5" s="420" t="s">
        <v>6</v>
      </c>
      <c r="I5" s="420"/>
      <c r="J5" s="421" t="str">
        <f>sheet1!J5</f>
        <v>소입공정(Q.T)</v>
      </c>
      <c r="K5" s="421"/>
      <c r="L5" s="421"/>
      <c r="M5" s="421"/>
      <c r="N5" s="448"/>
      <c r="O5" s="449"/>
      <c r="P5" s="455"/>
      <c r="Q5" s="452"/>
      <c r="R5" s="452"/>
      <c r="S5" s="452"/>
      <c r="T5" s="452"/>
      <c r="U5" s="452"/>
      <c r="V5" s="452"/>
      <c r="W5" s="453"/>
      <c r="Z5" s="1" t="str">
        <f>MID(Y5,9,1)</f>
        <v/>
      </c>
      <c r="AA5" s="1" t="e">
        <f>Z5*1</f>
        <v>#VALUE!</v>
      </c>
    </row>
    <row r="6" spans="1:27" s="1" customFormat="1" ht="16.5" customHeight="1" x14ac:dyDescent="0.15">
      <c r="A6" s="225" t="s">
        <v>10</v>
      </c>
      <c r="B6" s="226"/>
      <c r="C6" s="226"/>
      <c r="D6" s="227" t="s">
        <v>10</v>
      </c>
      <c r="E6" s="226"/>
      <c r="F6" s="228"/>
      <c r="G6" s="226" t="s">
        <v>10</v>
      </c>
      <c r="H6" s="226"/>
      <c r="I6" s="226"/>
      <c r="J6" s="227" t="s">
        <v>10</v>
      </c>
      <c r="K6" s="226"/>
      <c r="L6" s="228"/>
      <c r="M6" s="226" t="s">
        <v>10</v>
      </c>
      <c r="N6" s="226"/>
      <c r="O6" s="226"/>
      <c r="P6" s="227" t="s">
        <v>10</v>
      </c>
      <c r="Q6" s="226"/>
      <c r="R6" s="255"/>
      <c r="S6" s="170" t="s">
        <v>190</v>
      </c>
      <c r="T6" s="171"/>
      <c r="U6" s="172">
        <f>sheet1!U6</f>
        <v>0</v>
      </c>
      <c r="V6" s="173"/>
      <c r="W6" s="174"/>
    </row>
    <row r="7" spans="1:27" s="1" customFormat="1" ht="16.5" customHeight="1" x14ac:dyDescent="0.15">
      <c r="A7" s="247" t="s">
        <v>225</v>
      </c>
      <c r="B7" s="211" t="s">
        <v>226</v>
      </c>
      <c r="C7" s="249"/>
      <c r="D7" s="209" t="s">
        <v>227</v>
      </c>
      <c r="E7" s="211" t="s">
        <v>81</v>
      </c>
      <c r="F7" s="251"/>
      <c r="G7" s="735" t="s">
        <v>228</v>
      </c>
      <c r="H7" s="211" t="s">
        <v>229</v>
      </c>
      <c r="I7" s="249"/>
      <c r="J7" s="209" t="s">
        <v>230</v>
      </c>
      <c r="K7" s="211" t="s">
        <v>85</v>
      </c>
      <c r="L7" s="251"/>
      <c r="M7" s="253" t="s">
        <v>231</v>
      </c>
      <c r="N7" s="211" t="s">
        <v>232</v>
      </c>
      <c r="O7" s="249"/>
      <c r="P7" s="209" t="s">
        <v>233</v>
      </c>
      <c r="Q7" s="211" t="s">
        <v>234</v>
      </c>
      <c r="R7" s="212"/>
      <c r="S7" s="194" t="s">
        <v>178</v>
      </c>
      <c r="T7" s="195"/>
      <c r="U7" s="196">
        <f>sheet1!U7</f>
        <v>0</v>
      </c>
      <c r="V7" s="197"/>
      <c r="W7" s="198"/>
    </row>
    <row r="8" spans="1:27" s="1" customFormat="1" ht="16.5" customHeight="1" x14ac:dyDescent="0.15">
      <c r="A8" s="248"/>
      <c r="B8" s="213"/>
      <c r="C8" s="250"/>
      <c r="D8" s="210"/>
      <c r="E8" s="213"/>
      <c r="F8" s="252"/>
      <c r="G8" s="254"/>
      <c r="H8" s="213"/>
      <c r="I8" s="250"/>
      <c r="J8" s="210"/>
      <c r="K8" s="213"/>
      <c r="L8" s="252"/>
      <c r="M8" s="254"/>
      <c r="N8" s="213"/>
      <c r="O8" s="250"/>
      <c r="P8" s="210"/>
      <c r="Q8" s="213"/>
      <c r="R8" s="214"/>
      <c r="S8" s="199" t="s">
        <v>179</v>
      </c>
      <c r="T8" s="200"/>
      <c r="U8" s="203">
        <f>sheet1!U8</f>
        <v>0</v>
      </c>
      <c r="V8" s="204"/>
      <c r="W8" s="205"/>
    </row>
    <row r="9" spans="1:27" s="1" customFormat="1" ht="16.5" customHeight="1" thickBot="1" x14ac:dyDescent="0.2">
      <c r="A9" s="729" t="s">
        <v>212</v>
      </c>
      <c r="B9" s="730"/>
      <c r="C9" s="730"/>
      <c r="D9" s="730"/>
      <c r="E9" s="730"/>
      <c r="F9" s="731" t="s">
        <v>224</v>
      </c>
      <c r="G9" s="732"/>
      <c r="H9" s="732"/>
      <c r="I9" s="732"/>
      <c r="J9" s="732"/>
      <c r="K9" s="732"/>
      <c r="L9" s="733"/>
      <c r="M9" s="731" t="s">
        <v>214</v>
      </c>
      <c r="N9" s="732"/>
      <c r="O9" s="732"/>
      <c r="P9" s="732"/>
      <c r="Q9" s="732"/>
      <c r="R9" s="734"/>
      <c r="S9" s="201"/>
      <c r="T9" s="202"/>
      <c r="U9" s="206"/>
      <c r="V9" s="207"/>
      <c r="W9" s="208"/>
    </row>
    <row r="10" spans="1:27" s="2" customFormat="1" ht="15" customHeight="1" x14ac:dyDescent="0.15">
      <c r="A10" s="386" t="s">
        <v>11</v>
      </c>
      <c r="B10" s="387"/>
      <c r="C10" s="387"/>
      <c r="D10" s="388" t="str">
        <f>sheet1!D10</f>
        <v>DS10-H-01</v>
      </c>
      <c r="E10" s="388"/>
      <c r="F10" s="242" t="s">
        <v>216</v>
      </c>
      <c r="G10" s="243"/>
      <c r="H10" s="245" t="s">
        <v>180</v>
      </c>
      <c r="I10" s="246"/>
      <c r="J10" s="72"/>
      <c r="K10" s="239" t="s">
        <v>217</v>
      </c>
      <c r="L10" s="240"/>
      <c r="M10" s="240"/>
      <c r="N10" s="178" t="s">
        <v>215</v>
      </c>
      <c r="O10" s="179"/>
      <c r="P10" s="179"/>
      <c r="Q10" s="180"/>
      <c r="R10" s="184" t="s">
        <v>192</v>
      </c>
      <c r="S10" s="185"/>
      <c r="T10" s="185"/>
      <c r="U10" s="185"/>
      <c r="V10" s="185"/>
      <c r="W10" s="186"/>
    </row>
    <row r="11" spans="1:27" s="2" customFormat="1" ht="24" customHeight="1" thickBot="1" x14ac:dyDescent="0.2">
      <c r="A11" s="235" t="s">
        <v>218</v>
      </c>
      <c r="B11" s="236"/>
      <c r="C11" s="236"/>
      <c r="D11" s="236"/>
      <c r="E11" s="231"/>
      <c r="F11" s="244"/>
      <c r="G11" s="244"/>
      <c r="H11" s="237"/>
      <c r="I11" s="220"/>
      <c r="J11" s="238"/>
      <c r="K11" s="241"/>
      <c r="L11" s="241"/>
      <c r="M11" s="241"/>
      <c r="N11" s="181"/>
      <c r="O11" s="182"/>
      <c r="P11" s="182"/>
      <c r="Q11" s="183"/>
      <c r="R11" s="187" t="s">
        <v>193</v>
      </c>
      <c r="S11" s="188"/>
      <c r="T11" s="188"/>
      <c r="U11" s="188" t="s">
        <v>194</v>
      </c>
      <c r="V11" s="188"/>
      <c r="W11" s="189"/>
    </row>
    <row r="12" spans="1:27" s="2" customFormat="1" ht="9.9499999999999993" customHeight="1" x14ac:dyDescent="0.15">
      <c r="A12" s="84"/>
      <c r="B12" s="386"/>
      <c r="C12" s="401"/>
      <c r="D12" s="88"/>
      <c r="E12" s="386"/>
      <c r="F12" s="401"/>
      <c r="G12" s="88"/>
      <c r="H12" s="3"/>
      <c r="I12" s="386"/>
      <c r="J12" s="401"/>
      <c r="K12" s="368"/>
      <c r="L12" s="386"/>
      <c r="M12" s="401"/>
      <c r="N12" s="3"/>
      <c r="O12" s="386"/>
      <c r="P12" s="401"/>
      <c r="Q12" s="4"/>
      <c r="R12" s="5"/>
      <c r="S12" s="386" t="s">
        <v>12</v>
      </c>
      <c r="T12" s="538"/>
      <c r="U12" s="535" t="str">
        <f>sheet1!U12</f>
        <v>100℃±10℃</v>
      </c>
      <c r="V12" s="536"/>
      <c r="W12" s="537"/>
    </row>
    <row r="13" spans="1:27" s="2" customFormat="1" ht="9.9499999999999993" customHeight="1" thickBot="1" x14ac:dyDescent="0.2">
      <c r="A13" s="84"/>
      <c r="B13" s="369"/>
      <c r="C13" s="370"/>
      <c r="D13" s="88"/>
      <c r="E13" s="369"/>
      <c r="F13" s="370"/>
      <c r="G13" s="88"/>
      <c r="H13" s="3"/>
      <c r="I13" s="369"/>
      <c r="J13" s="370"/>
      <c r="K13" s="368"/>
      <c r="L13" s="369"/>
      <c r="M13" s="370"/>
      <c r="N13" s="3"/>
      <c r="O13" s="369"/>
      <c r="P13" s="370"/>
      <c r="Q13" s="4"/>
      <c r="R13" s="5"/>
      <c r="S13" s="192"/>
      <c r="T13" s="193"/>
      <c r="U13" s="222"/>
      <c r="V13" s="223"/>
      <c r="W13" s="224"/>
    </row>
    <row r="14" spans="1:27" s="2" customFormat="1" ht="15" customHeight="1" x14ac:dyDescent="0.15">
      <c r="A14" s="84"/>
      <c r="B14" s="86"/>
      <c r="C14" s="88"/>
      <c r="D14" s="88"/>
      <c r="E14" s="88"/>
      <c r="F14" s="4"/>
      <c r="G14" s="5"/>
      <c r="H14" s="5"/>
      <c r="I14" s="85"/>
      <c r="J14" s="88"/>
      <c r="K14" s="88"/>
      <c r="L14" s="85"/>
      <c r="M14" s="88"/>
      <c r="N14" s="88"/>
      <c r="O14" s="86"/>
      <c r="P14" s="88"/>
      <c r="Q14" s="88"/>
      <c r="R14" s="88"/>
      <c r="S14" s="215" t="s">
        <v>13</v>
      </c>
      <c r="T14" s="216"/>
      <c r="U14" s="217" t="str">
        <f>sheet1!U14</f>
        <v>40M</v>
      </c>
      <c r="V14" s="218"/>
      <c r="W14" s="219"/>
    </row>
    <row r="15" spans="1:27" s="2" customFormat="1" ht="20.100000000000001" customHeight="1" thickBot="1" x14ac:dyDescent="0.2">
      <c r="A15" s="84"/>
      <c r="B15" s="85"/>
      <c r="C15" s="88"/>
      <c r="D15" s="88"/>
      <c r="E15" s="88"/>
      <c r="F15" s="6"/>
      <c r="G15" s="220" t="str">
        <f>sheet1!G15</f>
        <v>850℃±10℃</v>
      </c>
      <c r="H15" s="220"/>
      <c r="I15" s="220"/>
      <c r="J15" s="220"/>
      <c r="K15" s="220"/>
      <c r="L15" s="220"/>
      <c r="M15" s="220"/>
      <c r="N15" s="220"/>
      <c r="O15" s="221"/>
      <c r="P15" s="88"/>
      <c r="Q15" s="88"/>
      <c r="R15" s="88"/>
      <c r="S15" s="190" t="s">
        <v>14</v>
      </c>
      <c r="T15" s="191"/>
      <c r="U15" s="406" t="str">
        <f>sheet1!U15</f>
        <v>60Hz±5Hz</v>
      </c>
      <c r="V15" s="407"/>
      <c r="W15" s="408"/>
    </row>
    <row r="16" spans="1:27" s="2" customFormat="1" ht="20.100000000000001" customHeight="1" thickBot="1" x14ac:dyDescent="0.2">
      <c r="A16" s="392" t="s">
        <v>15</v>
      </c>
      <c r="B16" s="393"/>
      <c r="C16" s="47"/>
      <c r="D16" s="398"/>
      <c r="E16" s="398"/>
      <c r="F16" s="378"/>
      <c r="G16" s="387" t="s">
        <v>16</v>
      </c>
      <c r="H16" s="387"/>
      <c r="I16" s="387"/>
      <c r="J16" s="386" t="s">
        <v>17</v>
      </c>
      <c r="K16" s="387"/>
      <c r="L16" s="401"/>
      <c r="M16" s="386" t="s">
        <v>18</v>
      </c>
      <c r="N16" s="387"/>
      <c r="O16" s="387"/>
      <c r="P16" s="402"/>
      <c r="Q16" s="403"/>
      <c r="R16" s="404"/>
      <c r="S16" s="192"/>
      <c r="T16" s="193"/>
      <c r="U16" s="222"/>
      <c r="V16" s="223"/>
      <c r="W16" s="224"/>
    </row>
    <row r="17" spans="1:25" s="2" customFormat="1" ht="17.25" customHeight="1" x14ac:dyDescent="0.15">
      <c r="A17" s="394"/>
      <c r="B17" s="395"/>
      <c r="C17" s="88"/>
      <c r="D17" s="84"/>
      <c r="E17" s="88"/>
      <c r="F17" s="85"/>
      <c r="G17" s="88"/>
      <c r="H17" s="88"/>
      <c r="I17" s="88"/>
      <c r="J17" s="84"/>
      <c r="K17" s="88"/>
      <c r="L17" s="85"/>
      <c r="M17" s="7"/>
      <c r="N17" s="7"/>
      <c r="O17" s="7"/>
      <c r="P17" s="405"/>
      <c r="Q17" s="403"/>
      <c r="R17" s="403"/>
      <c r="S17" s="399" t="s">
        <v>19</v>
      </c>
      <c r="T17" s="399"/>
      <c r="U17" s="399"/>
      <c r="V17" s="399"/>
      <c r="W17" s="400"/>
    </row>
    <row r="18" spans="1:25" s="2" customFormat="1" ht="17.25" customHeight="1" x14ac:dyDescent="0.15">
      <c r="A18" s="396"/>
      <c r="B18" s="397"/>
      <c r="C18" s="5"/>
      <c r="D18" s="201" t="s">
        <v>20</v>
      </c>
      <c r="E18" s="352"/>
      <c r="F18" s="353"/>
      <c r="G18" s="352" t="s">
        <v>21</v>
      </c>
      <c r="H18" s="352"/>
      <c r="I18" s="352"/>
      <c r="J18" s="201" t="s">
        <v>22</v>
      </c>
      <c r="K18" s="352"/>
      <c r="L18" s="353"/>
      <c r="M18" s="201" t="s">
        <v>23</v>
      </c>
      <c r="N18" s="352"/>
      <c r="O18" s="352"/>
      <c r="P18" s="8"/>
      <c r="Q18" s="9"/>
      <c r="R18" s="5"/>
      <c r="S18" s="389"/>
      <c r="T18" s="390"/>
      <c r="U18" s="390"/>
      <c r="V18" s="390"/>
      <c r="W18" s="391"/>
    </row>
    <row r="19" spans="1:25" s="2" customFormat="1" ht="17.25" customHeight="1" x14ac:dyDescent="0.15">
      <c r="A19" s="501" t="s">
        <v>24</v>
      </c>
      <c r="B19" s="502"/>
      <c r="C19" s="376"/>
      <c r="D19" s="497" t="s">
        <v>25</v>
      </c>
      <c r="E19" s="271"/>
      <c r="F19" s="308"/>
      <c r="G19" s="271" t="str">
        <f>sheet1!G19</f>
        <v>30M</v>
      </c>
      <c r="H19" s="271"/>
      <c r="I19" s="271"/>
      <c r="J19" s="497" t="str">
        <f>sheet1!J19</f>
        <v>30M</v>
      </c>
      <c r="K19" s="271"/>
      <c r="L19" s="308"/>
      <c r="M19" s="497" t="str">
        <f>sheet1!M19</f>
        <v>30M</v>
      </c>
      <c r="N19" s="271"/>
      <c r="O19" s="271"/>
      <c r="P19" s="8"/>
      <c r="Q19" s="9"/>
      <c r="R19" s="5"/>
      <c r="S19" s="377" t="s">
        <v>129</v>
      </c>
      <c r="T19" s="294"/>
      <c r="U19" s="294"/>
      <c r="V19" s="294"/>
      <c r="W19" s="295"/>
    </row>
    <row r="20" spans="1:25" s="2" customFormat="1" ht="17.25" customHeight="1" x14ac:dyDescent="0.15">
      <c r="A20" s="374" t="s">
        <v>26</v>
      </c>
      <c r="B20" s="498"/>
      <c r="C20" s="499"/>
      <c r="D20" s="471" t="s">
        <v>30</v>
      </c>
      <c r="E20" s="472"/>
      <c r="F20" s="472"/>
      <c r="G20" s="464" t="s">
        <v>30</v>
      </c>
      <c r="H20" s="465"/>
      <c r="I20" s="465"/>
      <c r="J20" s="465"/>
      <c r="K20" s="465"/>
      <c r="L20" s="465"/>
      <c r="M20" s="466" t="s">
        <v>30</v>
      </c>
      <c r="N20" s="467"/>
      <c r="O20" s="467"/>
      <c r="P20" s="8"/>
      <c r="Q20" s="9"/>
      <c r="R20" s="87"/>
      <c r="S20" s="456" t="s">
        <v>1</v>
      </c>
      <c r="T20" s="457"/>
      <c r="U20" s="379" t="s">
        <v>28</v>
      </c>
      <c r="V20" s="380"/>
      <c r="W20" s="381"/>
    </row>
    <row r="21" spans="1:25" s="2" customFormat="1" ht="17.25" customHeight="1" x14ac:dyDescent="0.15">
      <c r="A21" s="374" t="s">
        <v>29</v>
      </c>
      <c r="B21" s="375"/>
      <c r="C21" s="376"/>
      <c r="D21" s="471" t="str">
        <f>sheet1!D21</f>
        <v>CUT</v>
      </c>
      <c r="E21" s="472"/>
      <c r="F21" s="472"/>
      <c r="G21" s="464" t="str">
        <f>sheet1!G21</f>
        <v>CUT</v>
      </c>
      <c r="H21" s="465"/>
      <c r="I21" s="465"/>
      <c r="J21" s="465"/>
      <c r="K21" s="465"/>
      <c r="L21" s="465"/>
      <c r="M21" s="466" t="str">
        <f>sheet1!M21</f>
        <v>CUT</v>
      </c>
      <c r="N21" s="467"/>
      <c r="O21" s="467"/>
      <c r="P21" s="10"/>
      <c r="Q21" s="11"/>
      <c r="R21" s="87"/>
      <c r="S21" s="382" t="s">
        <v>31</v>
      </c>
      <c r="T21" s="383"/>
      <c r="U21" s="382"/>
      <c r="V21" s="384"/>
      <c r="W21" s="385"/>
    </row>
    <row r="22" spans="1:25" s="2" customFormat="1" ht="17.25" customHeight="1" thickBot="1" x14ac:dyDescent="0.2">
      <c r="A22" s="374" t="s">
        <v>32</v>
      </c>
      <c r="B22" s="375"/>
      <c r="C22" s="376"/>
      <c r="D22" s="471" t="s">
        <v>33</v>
      </c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12"/>
      <c r="Q22" s="13"/>
      <c r="R22" s="14"/>
      <c r="S22" s="15"/>
      <c r="T22" s="269" t="str">
        <f>sheet1!T22</f>
        <v>170℃±5℃</v>
      </c>
      <c r="U22" s="269"/>
      <c r="V22" s="269"/>
      <c r="W22" s="16"/>
    </row>
    <row r="23" spans="1:25" s="2" customFormat="1" ht="17.25" customHeight="1" thickBot="1" x14ac:dyDescent="0.2">
      <c r="A23" s="374" t="s">
        <v>34</v>
      </c>
      <c r="B23" s="375"/>
      <c r="C23" s="376"/>
      <c r="D23" s="229" t="s">
        <v>239</v>
      </c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8"/>
      <c r="Q23" s="9"/>
      <c r="R23" s="87"/>
      <c r="S23" s="378"/>
      <c r="T23" s="17"/>
      <c r="U23" s="18"/>
      <c r="V23" s="19"/>
      <c r="W23" s="351"/>
    </row>
    <row r="24" spans="1:25" s="2" customFormat="1" ht="17.25" customHeight="1" x14ac:dyDescent="0.15">
      <c r="A24" s="33" t="s">
        <v>36</v>
      </c>
      <c r="B24" s="34"/>
      <c r="C24" s="34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378"/>
      <c r="T24" s="201" t="str">
        <f>sheet1!T24</f>
        <v>1Hr30M</v>
      </c>
      <c r="U24" s="352"/>
      <c r="V24" s="353"/>
      <c r="W24" s="351"/>
    </row>
    <row r="25" spans="1:25" s="2" customFormat="1" ht="16.5" customHeight="1" x14ac:dyDescent="0.15">
      <c r="A25" s="458" t="s">
        <v>235</v>
      </c>
      <c r="B25" s="357"/>
      <c r="C25" s="35" t="s">
        <v>90</v>
      </c>
      <c r="D25" s="364" t="s">
        <v>91</v>
      </c>
      <c r="E25" s="365"/>
      <c r="F25" s="365"/>
      <c r="G25" s="356" t="s">
        <v>236</v>
      </c>
      <c r="H25" s="357"/>
      <c r="I25" s="364" t="s">
        <v>91</v>
      </c>
      <c r="J25" s="365"/>
      <c r="K25" s="480"/>
      <c r="L25" s="475" t="s">
        <v>92</v>
      </c>
      <c r="M25" s="36" t="s">
        <v>93</v>
      </c>
      <c r="N25" s="722" t="s">
        <v>237</v>
      </c>
      <c r="O25" s="723"/>
      <c r="P25" s="723"/>
      <c r="Q25" s="723"/>
      <c r="R25" s="723"/>
      <c r="S25" s="723"/>
      <c r="T25" s="723"/>
      <c r="U25" s="723"/>
      <c r="V25" s="723"/>
      <c r="W25" s="724"/>
    </row>
    <row r="26" spans="1:25" s="21" customFormat="1" ht="16.5" customHeight="1" x14ac:dyDescent="0.15">
      <c r="A26" s="459"/>
      <c r="B26" s="359"/>
      <c r="C26" s="20" t="s">
        <v>173</v>
      </c>
      <c r="D26" s="366" t="s">
        <v>176</v>
      </c>
      <c r="E26" s="367"/>
      <c r="F26" s="367"/>
      <c r="G26" s="358"/>
      <c r="H26" s="359"/>
      <c r="I26" s="366" t="s">
        <v>176</v>
      </c>
      <c r="J26" s="367"/>
      <c r="K26" s="367"/>
      <c r="L26" s="476"/>
      <c r="M26" s="37" t="s">
        <v>94</v>
      </c>
      <c r="N26" s="725" t="s">
        <v>240</v>
      </c>
      <c r="O26" s="595"/>
      <c r="P26" s="595"/>
      <c r="Q26" s="595"/>
      <c r="R26" s="595"/>
      <c r="S26" s="595"/>
      <c r="T26" s="595"/>
      <c r="U26" s="595"/>
      <c r="V26" s="595"/>
      <c r="W26" s="726"/>
    </row>
    <row r="27" spans="1:25" s="21" customFormat="1" ht="16.5" customHeight="1" x14ac:dyDescent="0.15">
      <c r="A27" s="460"/>
      <c r="B27" s="361"/>
      <c r="C27" s="38" t="s">
        <v>174</v>
      </c>
      <c r="D27" s="354" t="s">
        <v>175</v>
      </c>
      <c r="E27" s="355"/>
      <c r="F27" s="355"/>
      <c r="G27" s="360"/>
      <c r="H27" s="361"/>
      <c r="I27" s="354" t="s">
        <v>175</v>
      </c>
      <c r="J27" s="355"/>
      <c r="K27" s="355"/>
      <c r="L27" s="477"/>
      <c r="M27" s="39" t="s">
        <v>95</v>
      </c>
      <c r="N27" s="725"/>
      <c r="O27" s="595"/>
      <c r="P27" s="595"/>
      <c r="Q27" s="595"/>
      <c r="R27" s="595"/>
      <c r="S27" s="595"/>
      <c r="T27" s="595"/>
      <c r="U27" s="595"/>
      <c r="V27" s="595"/>
      <c r="W27" s="726"/>
    </row>
    <row r="28" spans="1:25" s="21" customFormat="1" ht="16.5" customHeight="1" x14ac:dyDescent="0.15">
      <c r="A28" s="736" t="s">
        <v>222</v>
      </c>
      <c r="B28" s="737"/>
      <c r="C28" s="737"/>
      <c r="D28" s="737"/>
      <c r="E28" s="737"/>
      <c r="F28" s="737"/>
      <c r="G28" s="737"/>
      <c r="H28" s="737"/>
      <c r="I28" s="737"/>
      <c r="J28" s="737"/>
      <c r="K28" s="737"/>
      <c r="L28" s="737"/>
      <c r="M28" s="738"/>
      <c r="N28" s="725"/>
      <c r="O28" s="595"/>
      <c r="P28" s="595"/>
      <c r="Q28" s="595"/>
      <c r="R28" s="595"/>
      <c r="S28" s="595"/>
      <c r="T28" s="595"/>
      <c r="U28" s="595"/>
      <c r="V28" s="595"/>
      <c r="W28" s="726"/>
    </row>
    <row r="29" spans="1:25" s="21" customFormat="1" ht="17.100000000000001" customHeight="1" x14ac:dyDescent="0.15">
      <c r="A29" s="739"/>
      <c r="B29" s="740"/>
      <c r="C29" s="740"/>
      <c r="D29" s="740"/>
      <c r="E29" s="740"/>
      <c r="F29" s="740"/>
      <c r="G29" s="740"/>
      <c r="H29" s="740"/>
      <c r="I29" s="740"/>
      <c r="J29" s="740"/>
      <c r="K29" s="740"/>
      <c r="L29" s="740"/>
      <c r="M29" s="741"/>
      <c r="N29" s="725"/>
      <c r="O29" s="595"/>
      <c r="P29" s="595"/>
      <c r="Q29" s="595"/>
      <c r="R29" s="595"/>
      <c r="S29" s="595"/>
      <c r="T29" s="595"/>
      <c r="U29" s="595"/>
      <c r="V29" s="595"/>
      <c r="W29" s="726"/>
    </row>
    <row r="30" spans="1:25" s="21" customFormat="1" ht="17.100000000000001" customHeight="1" x14ac:dyDescent="0.15">
      <c r="A30" s="594" t="s">
        <v>242</v>
      </c>
      <c r="B30" s="595"/>
      <c r="C30" s="595"/>
      <c r="D30" s="595"/>
      <c r="E30" s="595"/>
      <c r="F30" s="595"/>
      <c r="G30" s="595"/>
      <c r="H30" s="595"/>
      <c r="I30" s="595"/>
      <c r="J30" s="595"/>
      <c r="K30" s="595"/>
      <c r="L30" s="595"/>
      <c r="M30" s="595"/>
      <c r="N30" s="725"/>
      <c r="O30" s="595"/>
      <c r="P30" s="595"/>
      <c r="Q30" s="595"/>
      <c r="R30" s="595"/>
      <c r="S30" s="595"/>
      <c r="T30" s="595"/>
      <c r="U30" s="595"/>
      <c r="V30" s="595"/>
      <c r="W30" s="726"/>
    </row>
    <row r="31" spans="1:25" s="21" customFormat="1" ht="17.100000000000001" customHeight="1" x14ac:dyDescent="0.15">
      <c r="A31" s="594"/>
      <c r="B31" s="595"/>
      <c r="C31" s="595"/>
      <c r="D31" s="595"/>
      <c r="E31" s="595"/>
      <c r="F31" s="595"/>
      <c r="G31" s="595"/>
      <c r="H31" s="595"/>
      <c r="I31" s="595"/>
      <c r="J31" s="595"/>
      <c r="K31" s="595"/>
      <c r="L31" s="595"/>
      <c r="M31" s="595"/>
      <c r="N31" s="727"/>
      <c r="O31" s="598"/>
      <c r="P31" s="598"/>
      <c r="Q31" s="598"/>
      <c r="R31" s="598"/>
      <c r="S31" s="598"/>
      <c r="T31" s="598"/>
      <c r="U31" s="598"/>
      <c r="V31" s="598"/>
      <c r="W31" s="728"/>
    </row>
    <row r="32" spans="1:25" s="21" customFormat="1" ht="17.100000000000001" customHeight="1" x14ac:dyDescent="0.15">
      <c r="A32" s="594"/>
      <c r="B32" s="595"/>
      <c r="C32" s="595"/>
      <c r="D32" s="595"/>
      <c r="E32" s="595"/>
      <c r="F32" s="595"/>
      <c r="G32" s="595"/>
      <c r="H32" s="595"/>
      <c r="I32" s="595"/>
      <c r="J32" s="595"/>
      <c r="K32" s="595"/>
      <c r="L32" s="595"/>
      <c r="M32" s="595"/>
      <c r="N32" s="377" t="s">
        <v>267</v>
      </c>
      <c r="O32" s="294"/>
      <c r="P32" s="294"/>
      <c r="Q32" s="294"/>
      <c r="R32" s="294"/>
      <c r="S32" s="294"/>
      <c r="T32" s="294"/>
      <c r="U32" s="294"/>
      <c r="V32" s="294"/>
      <c r="W32" s="295"/>
      <c r="Y32" s="32"/>
    </row>
    <row r="33" spans="1:23" s="21" customFormat="1" ht="17.100000000000001" customHeight="1" x14ac:dyDescent="0.15">
      <c r="A33" s="594"/>
      <c r="B33" s="595"/>
      <c r="C33" s="595"/>
      <c r="D33" s="595"/>
      <c r="E33" s="595"/>
      <c r="F33" s="595"/>
      <c r="G33" s="595"/>
      <c r="H33" s="595"/>
      <c r="I33" s="595"/>
      <c r="J33" s="595"/>
      <c r="K33" s="595"/>
      <c r="L33" s="595"/>
      <c r="M33" s="595"/>
      <c r="N33" s="111"/>
      <c r="O33" s="112"/>
      <c r="P33" s="112"/>
      <c r="Q33" s="112"/>
      <c r="R33" s="112"/>
      <c r="S33" s="112"/>
      <c r="T33" s="112"/>
      <c r="U33" s="112"/>
      <c r="V33" s="112"/>
      <c r="W33" s="113"/>
    </row>
    <row r="34" spans="1:23" s="21" customFormat="1" ht="17.100000000000001" customHeight="1" x14ac:dyDescent="0.15">
      <c r="A34" s="594"/>
      <c r="B34" s="595"/>
      <c r="C34" s="595"/>
      <c r="D34" s="595"/>
      <c r="E34" s="595"/>
      <c r="F34" s="595"/>
      <c r="G34" s="595"/>
      <c r="H34" s="595"/>
      <c r="I34" s="595"/>
      <c r="J34" s="595"/>
      <c r="K34" s="595"/>
      <c r="L34" s="595"/>
      <c r="M34" s="595"/>
      <c r="N34" s="114"/>
      <c r="O34" s="9"/>
      <c r="P34" s="9"/>
      <c r="Q34" s="9"/>
      <c r="R34" s="9"/>
      <c r="S34" s="9"/>
      <c r="T34" s="9"/>
      <c r="U34" s="9"/>
      <c r="V34" s="9"/>
      <c r="W34" s="115"/>
    </row>
    <row r="35" spans="1:23" s="21" customFormat="1" ht="16.5" customHeight="1" x14ac:dyDescent="0.15">
      <c r="A35" s="709" t="s">
        <v>238</v>
      </c>
      <c r="B35" s="710"/>
      <c r="C35" s="710"/>
      <c r="D35" s="710"/>
      <c r="E35" s="710"/>
      <c r="F35" s="710"/>
      <c r="G35" s="710"/>
      <c r="H35" s="710"/>
      <c r="I35" s="710"/>
      <c r="J35" s="710"/>
      <c r="K35" s="710"/>
      <c r="L35" s="710"/>
      <c r="M35" s="710"/>
      <c r="N35" s="114"/>
      <c r="O35" s="9"/>
      <c r="P35" s="9"/>
      <c r="Q35" s="9"/>
      <c r="R35" s="9"/>
      <c r="S35" s="9"/>
      <c r="T35" s="9"/>
      <c r="U35" s="9"/>
      <c r="V35" s="9"/>
      <c r="W35" s="115"/>
    </row>
    <row r="36" spans="1:23" s="21" customFormat="1" ht="17.100000000000001" customHeight="1" x14ac:dyDescent="0.15">
      <c r="A36" s="89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114"/>
      <c r="O36" s="9"/>
      <c r="P36" s="9"/>
      <c r="Q36" s="9"/>
      <c r="R36" s="9"/>
      <c r="S36" s="9"/>
      <c r="T36" s="9"/>
      <c r="U36" s="9"/>
      <c r="V36" s="9"/>
      <c r="W36" s="115"/>
    </row>
    <row r="37" spans="1:23" s="21" customFormat="1" ht="17.100000000000001" customHeight="1" x14ac:dyDescent="0.15">
      <c r="A37" s="688"/>
      <c r="B37" s="689"/>
      <c r="C37" s="689"/>
      <c r="D37" s="689"/>
      <c r="E37" s="689"/>
      <c r="F37" s="689"/>
      <c r="G37" s="689"/>
      <c r="H37" s="689"/>
      <c r="I37" s="689"/>
      <c r="J37" s="689"/>
      <c r="K37" s="689"/>
      <c r="L37" s="689"/>
      <c r="M37" s="689"/>
      <c r="N37" s="114"/>
      <c r="O37" s="9"/>
      <c r="P37" s="9"/>
      <c r="Q37" s="9"/>
      <c r="R37" s="9"/>
      <c r="S37" s="9"/>
      <c r="T37" s="9"/>
      <c r="U37" s="9"/>
      <c r="V37" s="9"/>
      <c r="W37" s="115"/>
    </row>
    <row r="38" spans="1:23" s="21" customFormat="1" ht="15" customHeight="1" x14ac:dyDescent="0.15">
      <c r="A38" s="688"/>
      <c r="B38" s="689"/>
      <c r="C38" s="689"/>
      <c r="D38" s="689"/>
      <c r="E38" s="689"/>
      <c r="F38" s="689"/>
      <c r="G38" s="689"/>
      <c r="H38" s="689"/>
      <c r="I38" s="689"/>
      <c r="J38" s="689"/>
      <c r="K38" s="689"/>
      <c r="L38" s="689"/>
      <c r="M38" s="689"/>
      <c r="N38" s="114"/>
      <c r="O38" s="9"/>
      <c r="P38" s="9"/>
      <c r="Q38" s="9"/>
      <c r="R38" s="9"/>
      <c r="S38" s="9"/>
      <c r="T38" s="9"/>
      <c r="U38" s="9"/>
      <c r="V38" s="9"/>
      <c r="W38" s="115"/>
    </row>
    <row r="39" spans="1:23" s="21" customFormat="1" ht="15" customHeight="1" x14ac:dyDescent="0.15">
      <c r="A39" s="688"/>
      <c r="B39" s="689"/>
      <c r="C39" s="689"/>
      <c r="D39" s="689"/>
      <c r="E39" s="689"/>
      <c r="F39" s="689"/>
      <c r="G39" s="689"/>
      <c r="H39" s="689"/>
      <c r="I39" s="689"/>
      <c r="J39" s="689"/>
      <c r="K39" s="689"/>
      <c r="L39" s="689"/>
      <c r="M39" s="689"/>
      <c r="N39" s="114"/>
      <c r="O39" s="9"/>
      <c r="P39" s="9"/>
      <c r="Q39" s="9"/>
      <c r="R39" s="9"/>
      <c r="S39" s="9"/>
      <c r="T39" s="9"/>
      <c r="U39" s="9"/>
      <c r="V39" s="9"/>
      <c r="W39" s="115"/>
    </row>
    <row r="40" spans="1:23" s="21" customFormat="1" ht="33.75" customHeight="1" x14ac:dyDescent="0.15">
      <c r="A40" s="688"/>
      <c r="B40" s="689"/>
      <c r="C40" s="689"/>
      <c r="D40" s="689"/>
      <c r="E40" s="689"/>
      <c r="F40" s="689"/>
      <c r="G40" s="689"/>
      <c r="H40" s="689"/>
      <c r="I40" s="689"/>
      <c r="J40" s="689"/>
      <c r="K40" s="689"/>
      <c r="L40" s="689"/>
      <c r="M40" s="689"/>
      <c r="N40" s="711" t="s">
        <v>268</v>
      </c>
      <c r="O40" s="712"/>
      <c r="P40" s="712"/>
      <c r="Q40" s="713">
        <f>sheet1!N35</f>
        <v>0</v>
      </c>
      <c r="R40" s="714"/>
      <c r="S40" s="714"/>
      <c r="T40" s="714"/>
      <c r="U40" s="714"/>
      <c r="V40" s="714"/>
      <c r="W40" s="715"/>
    </row>
    <row r="41" spans="1:23" s="21" customFormat="1" ht="18" customHeight="1" x14ac:dyDescent="0.15">
      <c r="A41" s="688"/>
      <c r="B41" s="689"/>
      <c r="C41" s="689"/>
      <c r="D41" s="689"/>
      <c r="E41" s="689"/>
      <c r="F41" s="689"/>
      <c r="G41" s="689"/>
      <c r="H41" s="689"/>
      <c r="I41" s="689"/>
      <c r="J41" s="689"/>
      <c r="K41" s="689"/>
      <c r="L41" s="689"/>
      <c r="M41" s="690"/>
      <c r="N41" s="377" t="s">
        <v>241</v>
      </c>
      <c r="O41" s="294"/>
      <c r="P41" s="294"/>
      <c r="Q41" s="294"/>
      <c r="R41" s="294"/>
      <c r="S41" s="294"/>
      <c r="T41" s="294"/>
      <c r="U41" s="294"/>
      <c r="V41" s="294"/>
      <c r="W41" s="295"/>
    </row>
    <row r="42" spans="1:23" s="21" customFormat="1" ht="15" customHeight="1" x14ac:dyDescent="0.15">
      <c r="A42" s="688"/>
      <c r="B42" s="689"/>
      <c r="C42" s="689"/>
      <c r="D42" s="689"/>
      <c r="E42" s="689"/>
      <c r="F42" s="689"/>
      <c r="G42" s="689"/>
      <c r="H42" s="689"/>
      <c r="I42" s="689"/>
      <c r="J42" s="689"/>
      <c r="K42" s="689"/>
      <c r="L42" s="689"/>
      <c r="M42" s="690"/>
      <c r="N42" s="309" t="s">
        <v>44</v>
      </c>
      <c r="O42" s="309"/>
      <c r="P42" s="699" t="s">
        <v>39</v>
      </c>
      <c r="Q42" s="700"/>
      <c r="R42" s="700"/>
      <c r="S42" s="700"/>
      <c r="T42" s="700"/>
      <c r="U42" s="700"/>
      <c r="V42" s="700"/>
      <c r="W42" s="701"/>
    </row>
    <row r="43" spans="1:23" s="21" customFormat="1" ht="15.75" customHeight="1" x14ac:dyDescent="0.15">
      <c r="A43" s="688"/>
      <c r="B43" s="689"/>
      <c r="C43" s="689"/>
      <c r="D43" s="689"/>
      <c r="E43" s="689"/>
      <c r="F43" s="689"/>
      <c r="G43" s="689"/>
      <c r="H43" s="689"/>
      <c r="I43" s="689"/>
      <c r="J43" s="689"/>
      <c r="K43" s="689"/>
      <c r="L43" s="689"/>
      <c r="M43" s="690"/>
      <c r="N43" s="309"/>
      <c r="O43" s="309"/>
      <c r="P43" s="704" t="str">
        <f>sheet1!C44</f>
        <v>HRC 61~64</v>
      </c>
      <c r="Q43" s="705"/>
      <c r="R43" s="705"/>
      <c r="S43" s="705"/>
      <c r="T43" s="705"/>
      <c r="U43" s="705"/>
      <c r="V43" s="705"/>
      <c r="W43" s="706"/>
    </row>
    <row r="44" spans="1:23" s="21" customFormat="1" ht="15.75" customHeight="1" x14ac:dyDescent="0.15">
      <c r="A44" s="688"/>
      <c r="B44" s="689"/>
      <c r="C44" s="689"/>
      <c r="D44" s="689"/>
      <c r="E44" s="689"/>
      <c r="F44" s="689"/>
      <c r="G44" s="689"/>
      <c r="H44" s="689"/>
      <c r="I44" s="689"/>
      <c r="J44" s="689"/>
      <c r="K44" s="689"/>
      <c r="L44" s="689"/>
      <c r="M44" s="690"/>
      <c r="N44" s="703" t="s">
        <v>90</v>
      </c>
      <c r="O44" s="703"/>
      <c r="P44" s="716" t="s">
        <v>278</v>
      </c>
      <c r="Q44" s="717"/>
      <c r="R44" s="717"/>
      <c r="S44" s="717"/>
      <c r="T44" s="717"/>
      <c r="U44" s="717"/>
      <c r="V44" s="717"/>
      <c r="W44" s="718"/>
    </row>
    <row r="45" spans="1:23" s="21" customFormat="1" ht="15.75" customHeight="1" x14ac:dyDescent="0.15">
      <c r="A45" s="688"/>
      <c r="B45" s="689"/>
      <c r="C45" s="689"/>
      <c r="D45" s="689"/>
      <c r="E45" s="689"/>
      <c r="F45" s="689"/>
      <c r="G45" s="689"/>
      <c r="H45" s="689"/>
      <c r="I45" s="689"/>
      <c r="J45" s="689"/>
      <c r="K45" s="689"/>
      <c r="L45" s="689"/>
      <c r="M45" s="690"/>
      <c r="N45" s="703"/>
      <c r="O45" s="703"/>
      <c r="P45" s="719"/>
      <c r="Q45" s="720"/>
      <c r="R45" s="720"/>
      <c r="S45" s="720"/>
      <c r="T45" s="720"/>
      <c r="U45" s="720"/>
      <c r="V45" s="720"/>
      <c r="W45" s="721"/>
    </row>
    <row r="46" spans="1:23" s="21" customFormat="1" ht="24.95" customHeight="1" x14ac:dyDescent="0.15">
      <c r="A46" s="688"/>
      <c r="B46" s="689"/>
      <c r="C46" s="689"/>
      <c r="D46" s="689"/>
      <c r="E46" s="689"/>
      <c r="F46" s="689"/>
      <c r="G46" s="689"/>
      <c r="H46" s="689"/>
      <c r="I46" s="689"/>
      <c r="J46" s="689"/>
      <c r="K46" s="689"/>
      <c r="L46" s="689"/>
      <c r="M46" s="690"/>
      <c r="N46" s="707" t="s">
        <v>181</v>
      </c>
      <c r="O46" s="708"/>
      <c r="P46" s="341"/>
      <c r="Q46" s="341"/>
      <c r="R46" s="341"/>
      <c r="S46" s="341"/>
      <c r="T46" s="694"/>
      <c r="U46" s="694"/>
      <c r="V46" s="694"/>
      <c r="W46" s="695"/>
    </row>
    <row r="47" spans="1:23" s="21" customFormat="1" ht="24.95" customHeight="1" x14ac:dyDescent="0.15">
      <c r="A47" s="688"/>
      <c r="B47" s="689"/>
      <c r="C47" s="689"/>
      <c r="D47" s="689"/>
      <c r="E47" s="689"/>
      <c r="F47" s="689"/>
      <c r="G47" s="689"/>
      <c r="H47" s="689"/>
      <c r="I47" s="689"/>
      <c r="J47" s="689"/>
      <c r="K47" s="689"/>
      <c r="L47" s="689"/>
      <c r="M47" s="690"/>
      <c r="N47" s="349" t="s">
        <v>182</v>
      </c>
      <c r="O47" s="702"/>
      <c r="P47" s="344"/>
      <c r="Q47" s="344"/>
      <c r="R47" s="344"/>
      <c r="S47" s="344"/>
      <c r="T47" s="696"/>
      <c r="U47" s="696"/>
      <c r="V47" s="696"/>
      <c r="W47" s="697"/>
    </row>
    <row r="48" spans="1:23" s="21" customFormat="1" ht="24.95" customHeight="1" thickBot="1" x14ac:dyDescent="0.2">
      <c r="A48" s="691"/>
      <c r="B48" s="692"/>
      <c r="C48" s="692"/>
      <c r="D48" s="692"/>
      <c r="E48" s="692"/>
      <c r="F48" s="692"/>
      <c r="G48" s="692"/>
      <c r="H48" s="692"/>
      <c r="I48" s="692"/>
      <c r="J48" s="692"/>
      <c r="K48" s="692"/>
      <c r="L48" s="692"/>
      <c r="M48" s="693"/>
      <c r="N48" s="686" t="s">
        <v>183</v>
      </c>
      <c r="O48" s="687"/>
      <c r="P48" s="347"/>
      <c r="Q48" s="347"/>
      <c r="R48" s="347"/>
      <c r="S48" s="347"/>
      <c r="T48" s="685"/>
      <c r="U48" s="685"/>
      <c r="V48" s="685"/>
      <c r="W48" s="698"/>
    </row>
    <row r="49" spans="1:23" s="21" customFormat="1" ht="14.25" thickBot="1" x14ac:dyDescent="0.2">
      <c r="A49" s="316" t="s">
        <v>243</v>
      </c>
      <c r="B49" s="316"/>
      <c r="C49" s="316"/>
      <c r="D49" s="316"/>
      <c r="E49" s="316"/>
      <c r="F49" s="316"/>
      <c r="G49" s="22"/>
      <c r="H49" s="22"/>
      <c r="I49" s="22"/>
      <c r="J49" s="317" t="s">
        <v>50</v>
      </c>
      <c r="K49" s="317"/>
      <c r="L49" s="317"/>
      <c r="M49" s="317"/>
      <c r="N49" s="318"/>
      <c r="O49" s="318"/>
      <c r="P49" s="45"/>
      <c r="Q49" s="45"/>
      <c r="R49" s="45"/>
      <c r="S49" s="319" t="s">
        <v>51</v>
      </c>
      <c r="T49" s="319"/>
      <c r="U49" s="319"/>
      <c r="V49" s="319"/>
      <c r="W49" s="319"/>
    </row>
    <row r="50" spans="1:23" x14ac:dyDescent="0.15">
      <c r="A50" s="148" t="s">
        <v>293</v>
      </c>
      <c r="B50" s="149"/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50"/>
    </row>
    <row r="51" spans="1:23" ht="14.25" thickBot="1" x14ac:dyDescent="0.2">
      <c r="A51" s="151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3"/>
    </row>
    <row r="52" spans="1:23" ht="24.95" customHeight="1" thickBot="1" x14ac:dyDescent="0.2">
      <c r="A52" s="154" t="s">
        <v>294</v>
      </c>
      <c r="B52" s="155"/>
      <c r="C52" s="156" t="s">
        <v>295</v>
      </c>
      <c r="D52" s="157"/>
      <c r="E52" s="157" t="s">
        <v>283</v>
      </c>
      <c r="F52" s="157"/>
      <c r="G52" s="157" t="s">
        <v>284</v>
      </c>
      <c r="H52" s="157"/>
      <c r="I52" s="157" t="s">
        <v>285</v>
      </c>
      <c r="J52" s="157"/>
      <c r="K52" s="157" t="s">
        <v>286</v>
      </c>
      <c r="L52" s="158"/>
      <c r="M52" s="159" t="s">
        <v>296</v>
      </c>
      <c r="N52" s="160"/>
      <c r="O52" s="160"/>
      <c r="P52" s="160"/>
      <c r="Q52" s="160"/>
      <c r="R52" s="160"/>
      <c r="S52" s="160"/>
      <c r="T52" s="160"/>
      <c r="U52" s="160"/>
      <c r="V52" s="160"/>
      <c r="W52" s="161"/>
    </row>
    <row r="53" spans="1:23" ht="24.95" customHeight="1" x14ac:dyDescent="0.15">
      <c r="A53" s="162"/>
      <c r="B53" s="163"/>
      <c r="C53" s="164"/>
      <c r="D53" s="165"/>
      <c r="E53" s="165"/>
      <c r="F53" s="165"/>
      <c r="G53" s="165"/>
      <c r="H53" s="165"/>
      <c r="I53" s="165"/>
      <c r="J53" s="165"/>
      <c r="K53" s="165"/>
      <c r="L53" s="166"/>
      <c r="M53" s="167"/>
      <c r="N53" s="168"/>
      <c r="O53" s="168"/>
      <c r="P53" s="168"/>
      <c r="Q53" s="168"/>
      <c r="R53" s="168"/>
      <c r="S53" s="168"/>
      <c r="T53" s="168"/>
      <c r="U53" s="168"/>
      <c r="V53" s="168"/>
      <c r="W53" s="169"/>
    </row>
    <row r="54" spans="1:23" ht="24.95" customHeight="1" x14ac:dyDescent="0.15">
      <c r="A54" s="503"/>
      <c r="B54" s="504"/>
      <c r="C54" s="505"/>
      <c r="D54" s="506"/>
      <c r="E54" s="506"/>
      <c r="F54" s="506"/>
      <c r="G54" s="506"/>
      <c r="H54" s="506"/>
      <c r="I54" s="506"/>
      <c r="J54" s="506"/>
      <c r="K54" s="506"/>
      <c r="L54" s="507"/>
      <c r="M54" s="508"/>
      <c r="N54" s="509"/>
      <c r="O54" s="509"/>
      <c r="P54" s="509"/>
      <c r="Q54" s="509"/>
      <c r="R54" s="509"/>
      <c r="S54" s="509"/>
      <c r="T54" s="509"/>
      <c r="U54" s="509"/>
      <c r="V54" s="509"/>
      <c r="W54" s="510"/>
    </row>
    <row r="55" spans="1:23" ht="24.95" customHeight="1" x14ac:dyDescent="0.15">
      <c r="A55" s="503"/>
      <c r="B55" s="504"/>
      <c r="C55" s="505"/>
      <c r="D55" s="506"/>
      <c r="E55" s="506"/>
      <c r="F55" s="506"/>
      <c r="G55" s="506"/>
      <c r="H55" s="506"/>
      <c r="I55" s="506"/>
      <c r="J55" s="506"/>
      <c r="K55" s="506"/>
      <c r="L55" s="507"/>
      <c r="M55" s="508"/>
      <c r="N55" s="509"/>
      <c r="O55" s="509"/>
      <c r="P55" s="509"/>
      <c r="Q55" s="509"/>
      <c r="R55" s="509"/>
      <c r="S55" s="509"/>
      <c r="T55" s="509"/>
      <c r="U55" s="509"/>
      <c r="V55" s="509"/>
      <c r="W55" s="510"/>
    </row>
    <row r="56" spans="1:23" ht="24.95" customHeight="1" x14ac:dyDescent="0.15">
      <c r="A56" s="503"/>
      <c r="B56" s="504"/>
      <c r="C56" s="505"/>
      <c r="D56" s="506"/>
      <c r="E56" s="506"/>
      <c r="F56" s="506"/>
      <c r="G56" s="506"/>
      <c r="H56" s="506"/>
      <c r="I56" s="506"/>
      <c r="J56" s="506"/>
      <c r="K56" s="506"/>
      <c r="L56" s="507"/>
      <c r="M56" s="508"/>
      <c r="N56" s="509"/>
      <c r="O56" s="509"/>
      <c r="P56" s="509"/>
      <c r="Q56" s="509"/>
      <c r="R56" s="509"/>
      <c r="S56" s="509"/>
      <c r="T56" s="509"/>
      <c r="U56" s="509"/>
      <c r="V56" s="509"/>
      <c r="W56" s="510"/>
    </row>
    <row r="57" spans="1:23" ht="24.95" customHeight="1" x14ac:dyDescent="0.15">
      <c r="A57" s="503"/>
      <c r="B57" s="504"/>
      <c r="C57" s="505"/>
      <c r="D57" s="506"/>
      <c r="E57" s="506"/>
      <c r="F57" s="506"/>
      <c r="G57" s="506"/>
      <c r="H57" s="506"/>
      <c r="I57" s="506"/>
      <c r="J57" s="506"/>
      <c r="K57" s="506"/>
      <c r="L57" s="507"/>
      <c r="M57" s="508"/>
      <c r="N57" s="509"/>
      <c r="O57" s="509"/>
      <c r="P57" s="509"/>
      <c r="Q57" s="509"/>
      <c r="R57" s="509"/>
      <c r="S57" s="509"/>
      <c r="T57" s="509"/>
      <c r="U57" s="509"/>
      <c r="V57" s="509"/>
      <c r="W57" s="510"/>
    </row>
    <row r="58" spans="1:23" ht="24.95" customHeight="1" x14ac:dyDescent="0.15">
      <c r="A58" s="503"/>
      <c r="B58" s="504"/>
      <c r="C58" s="505"/>
      <c r="D58" s="506"/>
      <c r="E58" s="506"/>
      <c r="F58" s="506"/>
      <c r="G58" s="506"/>
      <c r="H58" s="506"/>
      <c r="I58" s="506"/>
      <c r="J58" s="506"/>
      <c r="K58" s="506"/>
      <c r="L58" s="507"/>
      <c r="M58" s="508"/>
      <c r="N58" s="509"/>
      <c r="O58" s="509"/>
      <c r="P58" s="509"/>
      <c r="Q58" s="509"/>
      <c r="R58" s="509"/>
      <c r="S58" s="509"/>
      <c r="T58" s="509"/>
      <c r="U58" s="509"/>
      <c r="V58" s="509"/>
      <c r="W58" s="510"/>
    </row>
    <row r="59" spans="1:23" ht="24.95" customHeight="1" x14ac:dyDescent="0.15">
      <c r="A59" s="503"/>
      <c r="B59" s="504"/>
      <c r="C59" s="505"/>
      <c r="D59" s="506"/>
      <c r="E59" s="506"/>
      <c r="F59" s="506"/>
      <c r="G59" s="506"/>
      <c r="H59" s="506"/>
      <c r="I59" s="506"/>
      <c r="J59" s="506"/>
      <c r="K59" s="506"/>
      <c r="L59" s="507"/>
      <c r="M59" s="508"/>
      <c r="N59" s="509"/>
      <c r="O59" s="509"/>
      <c r="P59" s="509"/>
      <c r="Q59" s="509"/>
      <c r="R59" s="509"/>
      <c r="S59" s="509"/>
      <c r="T59" s="509"/>
      <c r="U59" s="509"/>
      <c r="V59" s="509"/>
      <c r="W59" s="510"/>
    </row>
    <row r="60" spans="1:23" ht="24.95" customHeight="1" x14ac:dyDescent="0.15">
      <c r="A60" s="503"/>
      <c r="B60" s="504"/>
      <c r="C60" s="505"/>
      <c r="D60" s="506"/>
      <c r="E60" s="506"/>
      <c r="F60" s="506"/>
      <c r="G60" s="506"/>
      <c r="H60" s="506"/>
      <c r="I60" s="506"/>
      <c r="J60" s="506"/>
      <c r="K60" s="506"/>
      <c r="L60" s="507"/>
      <c r="M60" s="508"/>
      <c r="N60" s="509"/>
      <c r="O60" s="509"/>
      <c r="P60" s="509"/>
      <c r="Q60" s="509"/>
      <c r="R60" s="509"/>
      <c r="S60" s="509"/>
      <c r="T60" s="509"/>
      <c r="U60" s="509"/>
      <c r="V60" s="509"/>
      <c r="W60" s="510"/>
    </row>
    <row r="61" spans="1:23" ht="24.95" customHeight="1" x14ac:dyDescent="0.15">
      <c r="A61" s="503"/>
      <c r="B61" s="504"/>
      <c r="C61" s="505"/>
      <c r="D61" s="506"/>
      <c r="E61" s="506"/>
      <c r="F61" s="506"/>
      <c r="G61" s="506"/>
      <c r="H61" s="506"/>
      <c r="I61" s="506"/>
      <c r="J61" s="506"/>
      <c r="K61" s="506"/>
      <c r="L61" s="507"/>
      <c r="M61" s="508"/>
      <c r="N61" s="509"/>
      <c r="O61" s="509"/>
      <c r="P61" s="509"/>
      <c r="Q61" s="509"/>
      <c r="R61" s="509"/>
      <c r="S61" s="509"/>
      <c r="T61" s="509"/>
      <c r="U61" s="509"/>
      <c r="V61" s="509"/>
      <c r="W61" s="510"/>
    </row>
    <row r="62" spans="1:23" ht="24.95" customHeight="1" x14ac:dyDescent="0.15">
      <c r="A62" s="503"/>
      <c r="B62" s="504"/>
      <c r="C62" s="505"/>
      <c r="D62" s="506"/>
      <c r="E62" s="506"/>
      <c r="F62" s="506"/>
      <c r="G62" s="506"/>
      <c r="H62" s="506"/>
      <c r="I62" s="506"/>
      <c r="J62" s="506"/>
      <c r="K62" s="506"/>
      <c r="L62" s="507"/>
      <c r="M62" s="508"/>
      <c r="N62" s="509"/>
      <c r="O62" s="509"/>
      <c r="P62" s="509"/>
      <c r="Q62" s="509"/>
      <c r="R62" s="509"/>
      <c r="S62" s="509"/>
      <c r="T62" s="509"/>
      <c r="U62" s="509"/>
      <c r="V62" s="509"/>
      <c r="W62" s="510"/>
    </row>
    <row r="63" spans="1:23" ht="24.95" customHeight="1" x14ac:dyDescent="0.15">
      <c r="A63" s="503"/>
      <c r="B63" s="504"/>
      <c r="C63" s="505"/>
      <c r="D63" s="506"/>
      <c r="E63" s="506"/>
      <c r="F63" s="506"/>
      <c r="G63" s="506"/>
      <c r="H63" s="506"/>
      <c r="I63" s="506"/>
      <c r="J63" s="506"/>
      <c r="K63" s="506"/>
      <c r="L63" s="507"/>
      <c r="M63" s="508"/>
      <c r="N63" s="509"/>
      <c r="O63" s="509"/>
      <c r="P63" s="509"/>
      <c r="Q63" s="509"/>
      <c r="R63" s="509"/>
      <c r="S63" s="509"/>
      <c r="T63" s="509"/>
      <c r="U63" s="509"/>
      <c r="V63" s="509"/>
      <c r="W63" s="510"/>
    </row>
    <row r="64" spans="1:23" ht="24.95" customHeight="1" x14ac:dyDescent="0.15">
      <c r="A64" s="503"/>
      <c r="B64" s="504"/>
      <c r="C64" s="505"/>
      <c r="D64" s="506"/>
      <c r="E64" s="506"/>
      <c r="F64" s="506"/>
      <c r="G64" s="506"/>
      <c r="H64" s="506"/>
      <c r="I64" s="506"/>
      <c r="J64" s="506"/>
      <c r="K64" s="506"/>
      <c r="L64" s="507"/>
      <c r="M64" s="508"/>
      <c r="N64" s="509"/>
      <c r="O64" s="509"/>
      <c r="P64" s="509"/>
      <c r="Q64" s="509"/>
      <c r="R64" s="509"/>
      <c r="S64" s="509"/>
      <c r="T64" s="509"/>
      <c r="U64" s="509"/>
      <c r="V64" s="509"/>
      <c r="W64" s="510"/>
    </row>
    <row r="65" spans="1:23" ht="24.95" customHeight="1" x14ac:dyDescent="0.15">
      <c r="A65" s="503"/>
      <c r="B65" s="504"/>
      <c r="C65" s="505"/>
      <c r="D65" s="506"/>
      <c r="E65" s="506"/>
      <c r="F65" s="506"/>
      <c r="G65" s="506"/>
      <c r="H65" s="506"/>
      <c r="I65" s="506"/>
      <c r="J65" s="506"/>
      <c r="K65" s="506"/>
      <c r="L65" s="507"/>
      <c r="M65" s="508"/>
      <c r="N65" s="509"/>
      <c r="O65" s="509"/>
      <c r="P65" s="509"/>
      <c r="Q65" s="509"/>
      <c r="R65" s="509"/>
      <c r="S65" s="509"/>
      <c r="T65" s="509"/>
      <c r="U65" s="509"/>
      <c r="V65" s="509"/>
      <c r="W65" s="510"/>
    </row>
    <row r="66" spans="1:23" ht="24.95" customHeight="1" x14ac:dyDescent="0.15">
      <c r="A66" s="503"/>
      <c r="B66" s="504"/>
      <c r="C66" s="505"/>
      <c r="D66" s="506"/>
      <c r="E66" s="506"/>
      <c r="F66" s="506"/>
      <c r="G66" s="506"/>
      <c r="H66" s="506"/>
      <c r="I66" s="506"/>
      <c r="J66" s="506"/>
      <c r="K66" s="506"/>
      <c r="L66" s="507"/>
      <c r="M66" s="508"/>
      <c r="N66" s="509"/>
      <c r="O66" s="509"/>
      <c r="P66" s="509"/>
      <c r="Q66" s="509"/>
      <c r="R66" s="509"/>
      <c r="S66" s="509"/>
      <c r="T66" s="509"/>
      <c r="U66" s="509"/>
      <c r="V66" s="509"/>
      <c r="W66" s="510"/>
    </row>
    <row r="67" spans="1:23" ht="24.95" customHeight="1" x14ac:dyDescent="0.15">
      <c r="A67" s="503"/>
      <c r="B67" s="504"/>
      <c r="C67" s="505"/>
      <c r="D67" s="506"/>
      <c r="E67" s="506"/>
      <c r="F67" s="506"/>
      <c r="G67" s="506"/>
      <c r="H67" s="506"/>
      <c r="I67" s="506"/>
      <c r="J67" s="506"/>
      <c r="K67" s="506"/>
      <c r="L67" s="507"/>
      <c r="M67" s="508"/>
      <c r="N67" s="509"/>
      <c r="O67" s="509"/>
      <c r="P67" s="509"/>
      <c r="Q67" s="509"/>
      <c r="R67" s="509"/>
      <c r="S67" s="509"/>
      <c r="T67" s="509"/>
      <c r="U67" s="509"/>
      <c r="V67" s="509"/>
      <c r="W67" s="510"/>
    </row>
    <row r="68" spans="1:23" ht="24.95" customHeight="1" x14ac:dyDescent="0.15">
      <c r="A68" s="122"/>
      <c r="B68" s="123"/>
      <c r="C68" s="505"/>
      <c r="D68" s="506"/>
      <c r="E68" s="506"/>
      <c r="F68" s="506"/>
      <c r="G68" s="506"/>
      <c r="H68" s="506"/>
      <c r="I68" s="506"/>
      <c r="J68" s="506"/>
      <c r="K68" s="506"/>
      <c r="L68" s="507"/>
      <c r="M68" s="124"/>
      <c r="N68" s="125"/>
      <c r="O68" s="125"/>
      <c r="P68" s="125"/>
      <c r="Q68" s="125"/>
      <c r="R68" s="125"/>
      <c r="S68" s="125"/>
      <c r="T68" s="125"/>
      <c r="U68" s="125"/>
      <c r="V68" s="125"/>
      <c r="W68" s="126"/>
    </row>
    <row r="69" spans="1:23" ht="24.95" customHeight="1" x14ac:dyDescent="0.15">
      <c r="A69" s="503"/>
      <c r="B69" s="504"/>
      <c r="C69" s="505"/>
      <c r="D69" s="506"/>
      <c r="E69" s="506"/>
      <c r="F69" s="506"/>
      <c r="G69" s="506"/>
      <c r="H69" s="506"/>
      <c r="I69" s="506"/>
      <c r="J69" s="506"/>
      <c r="K69" s="506"/>
      <c r="L69" s="507"/>
      <c r="M69" s="508"/>
      <c r="N69" s="509"/>
      <c r="O69" s="509"/>
      <c r="P69" s="509"/>
      <c r="Q69" s="509"/>
      <c r="R69" s="509"/>
      <c r="S69" s="509"/>
      <c r="T69" s="509"/>
      <c r="U69" s="509"/>
      <c r="V69" s="509"/>
      <c r="W69" s="510"/>
    </row>
    <row r="70" spans="1:23" ht="24.95" customHeight="1" thickBot="1" x14ac:dyDescent="0.2">
      <c r="A70" s="516"/>
      <c r="B70" s="517"/>
      <c r="C70" s="518"/>
      <c r="D70" s="519"/>
      <c r="E70" s="519"/>
      <c r="F70" s="519"/>
      <c r="G70" s="519"/>
      <c r="H70" s="519"/>
      <c r="I70" s="519"/>
      <c r="J70" s="519"/>
      <c r="K70" s="519"/>
      <c r="L70" s="520"/>
      <c r="M70" s="521"/>
      <c r="N70" s="522"/>
      <c r="O70" s="522"/>
      <c r="P70" s="522"/>
      <c r="Q70" s="522"/>
      <c r="R70" s="522"/>
      <c r="S70" s="522"/>
      <c r="T70" s="522"/>
      <c r="U70" s="522"/>
      <c r="V70" s="522"/>
      <c r="W70" s="523"/>
    </row>
    <row r="71" spans="1:23" x14ac:dyDescent="0.15">
      <c r="A71" s="127"/>
      <c r="B71" s="128"/>
      <c r="C71" s="129"/>
      <c r="D71" s="129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28"/>
      <c r="S71" s="128"/>
      <c r="T71" s="128"/>
      <c r="U71" s="128"/>
      <c r="V71" s="130"/>
      <c r="W71" s="131"/>
    </row>
    <row r="72" spans="1:23" s="1" customFormat="1" ht="12.75" thickBot="1" x14ac:dyDescent="0.2">
      <c r="A72" s="24"/>
      <c r="B72" s="25"/>
      <c r="C72" s="25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1"/>
      <c r="V72" s="21"/>
      <c r="W72" s="21"/>
    </row>
    <row r="73" spans="1:23" s="1" customFormat="1" ht="12" customHeight="1" x14ac:dyDescent="0.15">
      <c r="A73" s="742" t="s">
        <v>208</v>
      </c>
      <c r="B73" s="743"/>
      <c r="C73" s="743"/>
      <c r="D73" s="743"/>
      <c r="E73" s="743"/>
      <c r="F73" s="743"/>
      <c r="G73" s="743"/>
      <c r="H73" s="743"/>
      <c r="I73" s="743"/>
      <c r="J73" s="743"/>
      <c r="K73" s="743"/>
      <c r="L73" s="743"/>
      <c r="M73" s="743"/>
      <c r="N73" s="743"/>
      <c r="O73" s="743"/>
      <c r="P73" s="743"/>
      <c r="Q73" s="743"/>
      <c r="R73" s="743"/>
      <c r="S73" s="743"/>
      <c r="T73" s="743"/>
      <c r="U73" s="743"/>
      <c r="V73" s="743"/>
      <c r="W73" s="744"/>
    </row>
    <row r="74" spans="1:23" s="1" customFormat="1" ht="33.75" customHeight="1" x14ac:dyDescent="0.15">
      <c r="A74" s="745"/>
      <c r="B74" s="746"/>
      <c r="C74" s="746"/>
      <c r="D74" s="746"/>
      <c r="E74" s="746"/>
      <c r="F74" s="746"/>
      <c r="G74" s="746"/>
      <c r="H74" s="746"/>
      <c r="I74" s="746"/>
      <c r="J74" s="746"/>
      <c r="K74" s="746"/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7"/>
    </row>
    <row r="75" spans="1:23" s="1" customFormat="1" ht="13.5" customHeight="1" x14ac:dyDescent="0.15">
      <c r="A75" s="132" t="s">
        <v>209</v>
      </c>
      <c r="B75" s="133"/>
      <c r="C75" s="133" t="s">
        <v>198</v>
      </c>
      <c r="D75" s="133"/>
      <c r="E75" s="133" t="s">
        <v>199</v>
      </c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 t="s">
        <v>200</v>
      </c>
      <c r="S75" s="133"/>
      <c r="T75" s="133" t="s">
        <v>201</v>
      </c>
      <c r="U75" s="133"/>
      <c r="V75" s="133" t="s">
        <v>197</v>
      </c>
      <c r="W75" s="141"/>
    </row>
    <row r="76" spans="1:23" s="1" customFormat="1" ht="13.5" customHeight="1" x14ac:dyDescent="0.15">
      <c r="A76" s="132"/>
      <c r="B76" s="133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41"/>
    </row>
    <row r="77" spans="1:23" x14ac:dyDescent="0.15">
      <c r="A77" s="142" t="s">
        <v>210</v>
      </c>
      <c r="B77" s="143"/>
      <c r="C77" s="134" t="s">
        <v>206</v>
      </c>
      <c r="D77" s="134"/>
      <c r="E77" s="134" t="s">
        <v>202</v>
      </c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3" t="s">
        <v>205</v>
      </c>
      <c r="S77" s="133"/>
      <c r="T77" s="144"/>
      <c r="U77" s="144"/>
      <c r="V77" s="133" t="s">
        <v>203</v>
      </c>
      <c r="W77" s="141"/>
    </row>
    <row r="78" spans="1:23" x14ac:dyDescent="0.15">
      <c r="A78" s="142"/>
      <c r="B78" s="143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3"/>
      <c r="S78" s="133"/>
      <c r="T78" s="144"/>
      <c r="U78" s="144"/>
      <c r="V78" s="133"/>
      <c r="W78" s="141"/>
    </row>
    <row r="79" spans="1:23" ht="13.5" customHeight="1" x14ac:dyDescent="0.15">
      <c r="A79" s="132">
        <v>1</v>
      </c>
      <c r="B79" s="133"/>
      <c r="C79" s="134" t="s">
        <v>211</v>
      </c>
      <c r="D79" s="134"/>
      <c r="E79" s="145" t="s">
        <v>279</v>
      </c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33" t="s">
        <v>207</v>
      </c>
      <c r="S79" s="133"/>
      <c r="T79" s="144"/>
      <c r="U79" s="144"/>
      <c r="V79" s="133" t="s">
        <v>204</v>
      </c>
      <c r="W79" s="141"/>
    </row>
    <row r="80" spans="1:23" ht="13.5" customHeight="1" x14ac:dyDescent="0.15">
      <c r="A80" s="132"/>
      <c r="B80" s="133"/>
      <c r="C80" s="134"/>
      <c r="D80" s="134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33"/>
      <c r="S80" s="133"/>
      <c r="T80" s="144"/>
      <c r="U80" s="144"/>
      <c r="V80" s="133"/>
      <c r="W80" s="141"/>
    </row>
    <row r="81" spans="1:23" ht="87.75" customHeight="1" x14ac:dyDescent="0.15">
      <c r="A81" s="132"/>
      <c r="B81" s="133"/>
      <c r="C81" s="134"/>
      <c r="D81" s="134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33"/>
      <c r="S81" s="133"/>
      <c r="T81" s="144"/>
      <c r="U81" s="144"/>
      <c r="V81" s="133"/>
      <c r="W81" s="141"/>
    </row>
    <row r="82" spans="1:23" x14ac:dyDescent="0.15">
      <c r="A82" s="132">
        <v>2</v>
      </c>
      <c r="B82" s="133"/>
      <c r="C82" s="134"/>
      <c r="D82" s="134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33"/>
      <c r="S82" s="133"/>
      <c r="T82" s="133"/>
      <c r="U82" s="133"/>
      <c r="V82" s="146"/>
      <c r="W82" s="147"/>
    </row>
    <row r="83" spans="1:23" x14ac:dyDescent="0.15">
      <c r="A83" s="132"/>
      <c r="B83" s="133"/>
      <c r="C83" s="134"/>
      <c r="D83" s="134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33"/>
      <c r="S83" s="133"/>
      <c r="T83" s="133"/>
      <c r="U83" s="133"/>
      <c r="V83" s="146"/>
      <c r="W83" s="147"/>
    </row>
    <row r="84" spans="1:23" x14ac:dyDescent="0.15">
      <c r="A84" s="132">
        <v>3</v>
      </c>
      <c r="B84" s="133"/>
      <c r="C84" s="134"/>
      <c r="D84" s="134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33"/>
      <c r="S84" s="133"/>
      <c r="T84" s="133"/>
      <c r="U84" s="133"/>
      <c r="V84" s="146"/>
      <c r="W84" s="147"/>
    </row>
    <row r="85" spans="1:23" x14ac:dyDescent="0.15">
      <c r="A85" s="132"/>
      <c r="B85" s="133"/>
      <c r="C85" s="134"/>
      <c r="D85" s="134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33"/>
      <c r="S85" s="133"/>
      <c r="T85" s="133"/>
      <c r="U85" s="133"/>
      <c r="V85" s="146"/>
      <c r="W85" s="147"/>
    </row>
  </sheetData>
  <mergeCells count="315">
    <mergeCell ref="A70:B70"/>
    <mergeCell ref="C70:D70"/>
    <mergeCell ref="E70:F70"/>
    <mergeCell ref="G70:H70"/>
    <mergeCell ref="I70:J70"/>
    <mergeCell ref="K70:L70"/>
    <mergeCell ref="M70:W70"/>
    <mergeCell ref="I68:J68"/>
    <mergeCell ref="K68:L68"/>
    <mergeCell ref="A69:B69"/>
    <mergeCell ref="C69:D69"/>
    <mergeCell ref="E69:F69"/>
    <mergeCell ref="G69:H69"/>
    <mergeCell ref="I69:J69"/>
    <mergeCell ref="K69:L69"/>
    <mergeCell ref="M69:W69"/>
    <mergeCell ref="A65:B65"/>
    <mergeCell ref="C65:D65"/>
    <mergeCell ref="E65:F65"/>
    <mergeCell ref="G65:H65"/>
    <mergeCell ref="I65:J65"/>
    <mergeCell ref="K65:L65"/>
    <mergeCell ref="M65:W65"/>
    <mergeCell ref="A66:B66"/>
    <mergeCell ref="C66:D66"/>
    <mergeCell ref="E66:F66"/>
    <mergeCell ref="G66:H66"/>
    <mergeCell ref="I66:J66"/>
    <mergeCell ref="K66:L66"/>
    <mergeCell ref="M66:W66"/>
    <mergeCell ref="K63:L63"/>
    <mergeCell ref="M63:W63"/>
    <mergeCell ref="A64:B64"/>
    <mergeCell ref="C64:D64"/>
    <mergeCell ref="E64:F64"/>
    <mergeCell ref="G64:H64"/>
    <mergeCell ref="I64:J64"/>
    <mergeCell ref="K64:L64"/>
    <mergeCell ref="M64:W64"/>
    <mergeCell ref="A60:B60"/>
    <mergeCell ref="C60:D60"/>
    <mergeCell ref="E60:F60"/>
    <mergeCell ref="G60:H60"/>
    <mergeCell ref="I60:J60"/>
    <mergeCell ref="K60:L60"/>
    <mergeCell ref="M60:W60"/>
    <mergeCell ref="A61:B61"/>
    <mergeCell ref="C61:D61"/>
    <mergeCell ref="E61:F61"/>
    <mergeCell ref="G61:H61"/>
    <mergeCell ref="I61:J61"/>
    <mergeCell ref="K61:L61"/>
    <mergeCell ref="M61:W61"/>
    <mergeCell ref="A58:B58"/>
    <mergeCell ref="C58:D58"/>
    <mergeCell ref="E58:F58"/>
    <mergeCell ref="G58:H58"/>
    <mergeCell ref="I58:J58"/>
    <mergeCell ref="K58:L58"/>
    <mergeCell ref="M58:W58"/>
    <mergeCell ref="A59:B59"/>
    <mergeCell ref="C59:D59"/>
    <mergeCell ref="E59:F59"/>
    <mergeCell ref="G59:H59"/>
    <mergeCell ref="I59:J59"/>
    <mergeCell ref="K59:L59"/>
    <mergeCell ref="M59:W59"/>
    <mergeCell ref="A56:B56"/>
    <mergeCell ref="C56:D56"/>
    <mergeCell ref="E56:F56"/>
    <mergeCell ref="G56:H56"/>
    <mergeCell ref="I56:J56"/>
    <mergeCell ref="K56:L56"/>
    <mergeCell ref="M56:W56"/>
    <mergeCell ref="A57:B57"/>
    <mergeCell ref="C57:D57"/>
    <mergeCell ref="E57:F57"/>
    <mergeCell ref="G57:H57"/>
    <mergeCell ref="I57:J57"/>
    <mergeCell ref="K57:L57"/>
    <mergeCell ref="M57:W57"/>
    <mergeCell ref="A54:B54"/>
    <mergeCell ref="C54:D54"/>
    <mergeCell ref="E54:F54"/>
    <mergeCell ref="G54:H54"/>
    <mergeCell ref="I54:J54"/>
    <mergeCell ref="K54:L54"/>
    <mergeCell ref="M54:W54"/>
    <mergeCell ref="A55:B55"/>
    <mergeCell ref="C55:D55"/>
    <mergeCell ref="E55:F55"/>
    <mergeCell ref="G55:H55"/>
    <mergeCell ref="I55:J55"/>
    <mergeCell ref="K55:L55"/>
    <mergeCell ref="M55:W55"/>
    <mergeCell ref="G52:H52"/>
    <mergeCell ref="I52:J52"/>
    <mergeCell ref="K52:L52"/>
    <mergeCell ref="M52:W52"/>
    <mergeCell ref="A53:B53"/>
    <mergeCell ref="C53:D53"/>
    <mergeCell ref="E53:F53"/>
    <mergeCell ref="G53:H53"/>
    <mergeCell ref="I53:J53"/>
    <mergeCell ref="K53:L53"/>
    <mergeCell ref="M53:W53"/>
    <mergeCell ref="A84:B85"/>
    <mergeCell ref="C84:D85"/>
    <mergeCell ref="E84:Q85"/>
    <mergeCell ref="R84:S85"/>
    <mergeCell ref="T84:U85"/>
    <mergeCell ref="V84:W85"/>
    <mergeCell ref="A62:B62"/>
    <mergeCell ref="C62:D62"/>
    <mergeCell ref="E62:F62"/>
    <mergeCell ref="G62:H62"/>
    <mergeCell ref="I62:J62"/>
    <mergeCell ref="K62:L62"/>
    <mergeCell ref="M62:W62"/>
    <mergeCell ref="A63:B63"/>
    <mergeCell ref="C63:D63"/>
    <mergeCell ref="E63:F63"/>
    <mergeCell ref="G63:H63"/>
    <mergeCell ref="I63:J63"/>
    <mergeCell ref="A82:B83"/>
    <mergeCell ref="C82:D83"/>
    <mergeCell ref="E82:Q83"/>
    <mergeCell ref="R82:S83"/>
    <mergeCell ref="T82:U83"/>
    <mergeCell ref="V82:W83"/>
    <mergeCell ref="A79:B81"/>
    <mergeCell ref="C79:D81"/>
    <mergeCell ref="E79:Q81"/>
    <mergeCell ref="R79:S81"/>
    <mergeCell ref="T79:U81"/>
    <mergeCell ref="V79:W81"/>
    <mergeCell ref="A77:B78"/>
    <mergeCell ref="C77:D78"/>
    <mergeCell ref="E77:Q78"/>
    <mergeCell ref="R77:S78"/>
    <mergeCell ref="T77:U78"/>
    <mergeCell ref="V77:W78"/>
    <mergeCell ref="A73:W74"/>
    <mergeCell ref="A75:B76"/>
    <mergeCell ref="C75:D76"/>
    <mergeCell ref="E75:Q76"/>
    <mergeCell ref="R75:S76"/>
    <mergeCell ref="T75:U76"/>
    <mergeCell ref="V75:W76"/>
    <mergeCell ref="A49:F49"/>
    <mergeCell ref="J49:O49"/>
    <mergeCell ref="S49:W49"/>
    <mergeCell ref="A67:B67"/>
    <mergeCell ref="C67:D67"/>
    <mergeCell ref="E67:F67"/>
    <mergeCell ref="G67:H67"/>
    <mergeCell ref="I67:J67"/>
    <mergeCell ref="K67:L67"/>
    <mergeCell ref="M67:W67"/>
    <mergeCell ref="C68:D68"/>
    <mergeCell ref="E68:F68"/>
    <mergeCell ref="G68:H68"/>
    <mergeCell ref="A50:W51"/>
    <mergeCell ref="A52:B52"/>
    <mergeCell ref="C52:D52"/>
    <mergeCell ref="E52:F52"/>
    <mergeCell ref="A25:B27"/>
    <mergeCell ref="D25:F25"/>
    <mergeCell ref="G25:H27"/>
    <mergeCell ref="I25:K25"/>
    <mergeCell ref="L25:L27"/>
    <mergeCell ref="N25:W25"/>
    <mergeCell ref="D26:F26"/>
    <mergeCell ref="I26:K26"/>
    <mergeCell ref="N26:W31"/>
    <mergeCell ref="D27:F27"/>
    <mergeCell ref="I27:K27"/>
    <mergeCell ref="A28:M29"/>
    <mergeCell ref="A30:M34"/>
    <mergeCell ref="N32:W32"/>
    <mergeCell ref="A35:M35"/>
    <mergeCell ref="A37:M48"/>
    <mergeCell ref="N41:W41"/>
    <mergeCell ref="N42:O43"/>
    <mergeCell ref="P42:W42"/>
    <mergeCell ref="P43:W43"/>
    <mergeCell ref="N44:O45"/>
    <mergeCell ref="N40:P40"/>
    <mergeCell ref="Q40:W40"/>
    <mergeCell ref="P48:Q48"/>
    <mergeCell ref="R48:S48"/>
    <mergeCell ref="T48:U48"/>
    <mergeCell ref="P44:W45"/>
    <mergeCell ref="N46:O46"/>
    <mergeCell ref="P46:Q46"/>
    <mergeCell ref="R46:S46"/>
    <mergeCell ref="T46:U46"/>
    <mergeCell ref="V46:W48"/>
    <mergeCell ref="N47:O47"/>
    <mergeCell ref="P47:Q47"/>
    <mergeCell ref="R47:S47"/>
    <mergeCell ref="T47:U47"/>
    <mergeCell ref="N48:O48"/>
    <mergeCell ref="A22:C22"/>
    <mergeCell ref="D22:O22"/>
    <mergeCell ref="T22:V22"/>
    <mergeCell ref="A23:C23"/>
    <mergeCell ref="D23:O23"/>
    <mergeCell ref="S23:S24"/>
    <mergeCell ref="A21:C21"/>
    <mergeCell ref="D21:F21"/>
    <mergeCell ref="G21:L21"/>
    <mergeCell ref="M21:O21"/>
    <mergeCell ref="S21:T21"/>
    <mergeCell ref="U21:W21"/>
    <mergeCell ref="W23:W24"/>
    <mergeCell ref="T24:V24"/>
    <mergeCell ref="A20:C20"/>
    <mergeCell ref="D20:F20"/>
    <mergeCell ref="G20:L20"/>
    <mergeCell ref="M20:O20"/>
    <mergeCell ref="S20:T20"/>
    <mergeCell ref="U20:W20"/>
    <mergeCell ref="A19:C19"/>
    <mergeCell ref="D19:F19"/>
    <mergeCell ref="G19:I19"/>
    <mergeCell ref="J19:L19"/>
    <mergeCell ref="M19:O19"/>
    <mergeCell ref="S19:W19"/>
    <mergeCell ref="S17:W17"/>
    <mergeCell ref="D18:F18"/>
    <mergeCell ref="G18:I18"/>
    <mergeCell ref="J18:L18"/>
    <mergeCell ref="M18:O18"/>
    <mergeCell ref="S18:W18"/>
    <mergeCell ref="A16:B18"/>
    <mergeCell ref="D16:F16"/>
    <mergeCell ref="G16:I16"/>
    <mergeCell ref="J16:L16"/>
    <mergeCell ref="M16:O16"/>
    <mergeCell ref="P16:R17"/>
    <mergeCell ref="S12:T13"/>
    <mergeCell ref="U12:W13"/>
    <mergeCell ref="S14:T14"/>
    <mergeCell ref="U14:W14"/>
    <mergeCell ref="G15:O15"/>
    <mergeCell ref="S15:T16"/>
    <mergeCell ref="U15:W16"/>
    <mergeCell ref="A11:E11"/>
    <mergeCell ref="H11:J11"/>
    <mergeCell ref="R11:T11"/>
    <mergeCell ref="U11:W11"/>
    <mergeCell ref="B12:C13"/>
    <mergeCell ref="E12:F13"/>
    <mergeCell ref="I12:J13"/>
    <mergeCell ref="K12:K13"/>
    <mergeCell ref="L12:M13"/>
    <mergeCell ref="O12:P13"/>
    <mergeCell ref="A9:E9"/>
    <mergeCell ref="F9:L9"/>
    <mergeCell ref="M9:R9"/>
    <mergeCell ref="A10:C10"/>
    <mergeCell ref="D10:E10"/>
    <mergeCell ref="F10:G11"/>
    <mergeCell ref="H10:I10"/>
    <mergeCell ref="K10:M11"/>
    <mergeCell ref="N10:Q11"/>
    <mergeCell ref="R10:W10"/>
    <mergeCell ref="M7:M8"/>
    <mergeCell ref="N7:O8"/>
    <mergeCell ref="P7:P8"/>
    <mergeCell ref="Q7:R8"/>
    <mergeCell ref="S7:T7"/>
    <mergeCell ref="U7:W7"/>
    <mergeCell ref="S8:T9"/>
    <mergeCell ref="U8:W9"/>
    <mergeCell ref="S6:T6"/>
    <mergeCell ref="U6:W6"/>
    <mergeCell ref="M6:O6"/>
    <mergeCell ref="P6:R6"/>
    <mergeCell ref="A7:A8"/>
    <mergeCell ref="B7:C8"/>
    <mergeCell ref="D7:D8"/>
    <mergeCell ref="E7:F8"/>
    <mergeCell ref="G7:G8"/>
    <mergeCell ref="H7:I8"/>
    <mergeCell ref="J7:J8"/>
    <mergeCell ref="K7:L8"/>
    <mergeCell ref="A6:C6"/>
    <mergeCell ref="D6:F6"/>
    <mergeCell ref="G6:I6"/>
    <mergeCell ref="J6:L6"/>
    <mergeCell ref="N4:O5"/>
    <mergeCell ref="V4:W5"/>
    <mergeCell ref="P4:U5"/>
    <mergeCell ref="A1:H2"/>
    <mergeCell ref="I1:J1"/>
    <mergeCell ref="K1:M1"/>
    <mergeCell ref="N1:O2"/>
    <mergeCell ref="P1:W2"/>
    <mergeCell ref="I2:J2"/>
    <mergeCell ref="K2:M2"/>
    <mergeCell ref="A5:B5"/>
    <mergeCell ref="C5:G5"/>
    <mergeCell ref="H5:I5"/>
    <mergeCell ref="J5:M5"/>
    <mergeCell ref="A3:C3"/>
    <mergeCell ref="D3:M3"/>
    <mergeCell ref="N3:O3"/>
    <mergeCell ref="P3:R3"/>
    <mergeCell ref="S3:W3"/>
    <mergeCell ref="A4:B4"/>
    <mergeCell ref="C4:G4"/>
    <mergeCell ref="H4:I4"/>
    <mergeCell ref="J4:M4"/>
  </mergeCells>
  <phoneticPr fontId="3" type="noConversion"/>
  <conditionalFormatting sqref="G21:O21">
    <cfRule type="cellIs" dxfId="2" priority="3" operator="equal">
      <formula>"CUT"</formula>
    </cfRule>
  </conditionalFormatting>
  <conditionalFormatting sqref="M20:O20">
    <cfRule type="cellIs" dxfId="1" priority="2" operator="equal">
      <formula>"CUT"</formula>
    </cfRule>
  </conditionalFormatting>
  <conditionalFormatting sqref="G20:L20">
    <cfRule type="cellIs" dxfId="0" priority="1" operator="equal">
      <formula>"CUT"</formula>
    </cfRule>
  </conditionalFormatting>
  <printOptions horizontalCentered="1"/>
  <pageMargins left="0.27559055118110237" right="0.23622047244094491" top="0.15748031496062992" bottom="0.15748031496062992" header="0.15748031496062992" footer="0.15748031496062992"/>
  <pageSetup paperSize="9" scale="93" orientation="portrait" r:id="rId1"/>
  <headerFooter alignWithMargins="0"/>
  <rowBreaks count="1" manualBreakCount="1">
    <brk id="49" max="22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sheet1</vt:lpstr>
      <vt:lpstr>SHAFT</vt:lpstr>
      <vt:lpstr>식별표</vt:lpstr>
      <vt:lpstr>취성제거 P32R</vt:lpstr>
      <vt:lpstr>취성제거 MQ4</vt:lpstr>
      <vt:lpstr>수출품 RU.RT</vt:lpstr>
      <vt:lpstr>수출품 D5R</vt:lpstr>
      <vt:lpstr>SHAFT!Print_Area</vt:lpstr>
      <vt:lpstr>sheet1!Print_Area</vt:lpstr>
      <vt:lpstr>'수출품 D5R'!Print_Area</vt:lpstr>
      <vt:lpstr>'수출품 RU.RT'!Print_Area</vt:lpstr>
      <vt:lpstr>식별표!Print_Area</vt:lpstr>
      <vt:lpstr>'취성제거 MQ4'!Print_Area</vt:lpstr>
      <vt:lpstr>'취성제거 P32R'!Print_Area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황성모</dc:creator>
  <cp:lastModifiedBy>User</cp:lastModifiedBy>
  <cp:lastPrinted>2017-10-25T09:18:50Z</cp:lastPrinted>
  <dcterms:created xsi:type="dcterms:W3CDTF">2015-09-09T08:24:03Z</dcterms:created>
  <dcterms:modified xsi:type="dcterms:W3CDTF">2021-04-27T00:50:45Z</dcterms:modified>
</cp:coreProperties>
</file>